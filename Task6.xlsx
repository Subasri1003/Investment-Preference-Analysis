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hidePivotFieldList="1" defaultThemeVersion="166925"/>
  <mc:AlternateContent xmlns:mc="http://schemas.openxmlformats.org/markup-compatibility/2006">
    <mc:Choice Requires="x15">
      <x15ac:absPath xmlns:x15ac="http://schemas.microsoft.com/office/spreadsheetml/2010/11/ac" url="C:\Users\ELCOT\Desktop\suba\"/>
    </mc:Choice>
  </mc:AlternateContent>
  <xr:revisionPtr revIDLastSave="0" documentId="13_ncr:1_{4B2DA922-CEF6-44F8-A742-5CD69F3995AC}" xr6:coauthVersionLast="47" xr6:coauthVersionMax="47" xr10:uidLastSave="{00000000-0000-0000-0000-000000000000}"/>
  <bookViews>
    <workbookView xWindow="-120" yWindow="-120" windowWidth="19440" windowHeight="11040" xr2:uid="{ECBDD029-53E6-43B9-BC04-FE698AFEA7CD}"/>
  </bookViews>
  <sheets>
    <sheet name="Sheet2" sheetId="3" r:id="rId1"/>
    <sheet name="Sheet1" sheetId="1" r:id="rId2"/>
    <sheet name="Dashboard Creation" sheetId="2" r:id="rId3"/>
  </sheets>
  <definedNames>
    <definedName name="ExternalData_1" localSheetId="1" hidden="1">Sheet1!$A$1:$X$41</definedName>
    <definedName name="Slicer_Gender_Category">#N/A</definedName>
    <definedName name="Slicer_Invest_Monitor">#N/A</definedName>
    <definedName name="Slicer_Investment_Avenues1">#N/A</definedName>
    <definedName name="Slicer_Source">#N/A</definedName>
    <definedName name="Slicer_What_are_your_savings_objective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3" l="1"/>
  <c r="B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B3A159-4801-40A7-8A86-451647DF68FE}" keepAlive="1" name="Query - Data_set 2 (1)" description="Connection to the 'Data_set 2 (1)' query in the workbook." type="5" refreshedVersion="8" background="1" saveData="1">
    <dbPr connection="Provider=Microsoft.Mashup.OleDb.1;Data Source=$Workbook$;Location=&quot;Data_set 2 (1)&quot;;Extended Properties=&quot;&quot;" command="SELECT * FROM [Data_set 2 (1)]"/>
  </connection>
</connections>
</file>

<file path=xl/sharedStrings.xml><?xml version="1.0" encoding="utf-8"?>
<sst xmlns="http://schemas.openxmlformats.org/spreadsheetml/2006/main" count="880" uniqueCount="90">
  <si>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</si>
  <si>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</si>
  <si>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</si>
  <si>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</si>
  <si>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</si>
  <si>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</si>
  <si>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</si>
  <si>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</si>
  <si>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</si>
  <si>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</si>
  <si>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</si>
  <si>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</si>
  <si>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</si>
  <si>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</si>
  <si>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</si>
  <si>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</si>
  <si>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</si>
  <si>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</si>
  <si>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</si>
  <si>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</si>
  <si>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</si>
  <si>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</si>
  <si>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</si>
  <si>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</si>
  <si>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</si>
  <si>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</si>
  <si>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</si>
  <si>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</si>
  <si>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</si>
  <si>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</si>
  <si>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</si>
  <si>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</si>
  <si>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</si>
  <si>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</si>
  <si>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</si>
  <si>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</si>
  <si>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</si>
  <si>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</si>
  <si>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</si>
  <si>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</si>
  <si>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</si>
  <si>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</si>
  <si>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</si>
  <si>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</si>
  <si>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</si>
  <si>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</si>
  <si>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</si>
  <si>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</si>
  <si>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</si>
  <si>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</si>
  <si>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</si>
  <si>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</si>
  <si>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</si>
  <si>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</si>
  <si>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</si>
  <si>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</si>
  <si>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</si>
  <si>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</si>
  <si>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</si>
  <si>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</si>
  <si>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</si>
  <si>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</si>
  <si>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</si>
  <si>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</si>
  <si>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</si>
  <si>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</si>
  <si>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</si>
  <si>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</si>
  <si>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Row Labels</t>
  </si>
  <si>
    <t>Grand Total</t>
  </si>
  <si>
    <t>Gender Category</t>
  </si>
  <si>
    <t>Gender Distribution Anlysis</t>
  </si>
  <si>
    <t>Count of Investment_Avenues</t>
  </si>
  <si>
    <t>Sum of Mutual_Funds</t>
  </si>
  <si>
    <t>Sum of Equity_Market</t>
  </si>
  <si>
    <t>Sum of Debentures</t>
  </si>
  <si>
    <t>Sum of Government_Bonds</t>
  </si>
  <si>
    <t>Sum of Fixed_Deposits</t>
  </si>
  <si>
    <t>Sum of PPF</t>
  </si>
  <si>
    <t>Sum of Gold</t>
  </si>
  <si>
    <t>Count of Reason_Equity</t>
  </si>
  <si>
    <t>Count of Reason_Mutual</t>
  </si>
  <si>
    <t>Count of Reason_Bonds</t>
  </si>
  <si>
    <t>Count of Reason_FD</t>
  </si>
  <si>
    <t>Count of Source</t>
  </si>
  <si>
    <t>Count of What are your savings objectives?</t>
  </si>
  <si>
    <t>Count of Factor</t>
  </si>
  <si>
    <t>Count of Duration</t>
  </si>
  <si>
    <t>Count of Objective</t>
  </si>
  <si>
    <t>Count of Invest_Monitor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</si>
</sst>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u/>
      <sz val="11"/>
      <color theme="1"/>
      <name val="Calibri"/>
      <family val="2"/>
      <scheme val="minor"/>
    </font>
    <font>
      <b/>
      <u/>
      <sz val="24"/>
      <color rgb="FF002060"/>
      <name val="Calibri"/>
      <family val="2"/>
      <scheme val="minor"/>
    </font>
    <font>
      <b/>
      <u/>
      <sz val="36"/>
      <color theme="4"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bgColor auto="1"/>
        </patternFill>
      </fill>
    </dxf>
    <dxf>
      <fill>
        <patternFill>
          <bgColor rgb="FF3F1440"/>
        </patternFill>
      </fill>
    </dxf>
    <dxf>
      <fill>
        <patternFill>
          <fgColor auto="1"/>
          <bgColor theme="1"/>
        </patternFill>
      </fill>
    </dxf>
    <dxf>
      <fill>
        <patternFill>
          <bgColor theme="1"/>
        </patternFill>
      </fill>
    </dxf>
    <dxf>
      <font>
        <sz val="14"/>
        <color theme="0"/>
      </font>
      <fill>
        <patternFill>
          <bgColor theme="1"/>
        </patternFill>
      </fill>
    </dxf>
    <dxf>
      <fill>
        <patternFill>
          <bgColor theme="1"/>
        </patternFill>
      </fill>
    </dxf>
  </dxfs>
  <tableStyles count="9" defaultTableStyle="TableStyleMedium2" defaultPivotStyle="PivotStyleLight16">
    <tableStyle name="Slicer Style 1" pivot="0" table="0" count="1" xr9:uid="{45033530-EE19-4A04-AF34-F82F940EAE56}">
      <tableStyleElement type="wholeTable" dxfId="21"/>
    </tableStyle>
    <tableStyle name="Slicer Style 2" pivot="0" table="0" count="1" xr9:uid="{199ACB1A-5589-4A05-9EC1-2F92B58EF927}">
      <tableStyleElement type="wholeTable" dxfId="20"/>
    </tableStyle>
    <tableStyle name="Slicer Style 3" pivot="0" table="0" count="0" xr9:uid="{E418028F-D724-41FB-B9EC-C2BD5FCDB7B3}"/>
    <tableStyle name="Slicer Style 4" pivot="0" table="0" count="0" xr9:uid="{700EDBAA-0FD4-43B1-908E-24FF646D1557}"/>
    <tableStyle name="Slicer Style 5" pivot="0" table="0" count="0" xr9:uid="{5351E691-15A1-4949-9F9E-ED0CD048F7B4}"/>
    <tableStyle name="Slicer Style 6" pivot="0" table="0" count="1" xr9:uid="{A7184311-EE6F-407C-AFB3-4DD68A582605}">
      <tableStyleElement type="wholeTable" dxfId="19"/>
    </tableStyle>
    <tableStyle name="Slicer Style 7" pivot="0" table="0" count="1" xr9:uid="{0D7C28A2-48F8-4ED1-8645-EC750D0C19CE}">
      <tableStyleElement type="wholeTable" dxfId="18"/>
    </tableStyle>
    <tableStyle name="Slicer Style 8" pivot="0" table="0" count="1" xr9:uid="{96EEC4F3-FCB1-4D84-A8C4-D2F629CDF89B}">
      <tableStyleElement type="wholeTable" dxfId="17"/>
    </tableStyle>
    <tableStyle name="Slicer Style 9" pivot="0" table="0" count="1" xr9:uid="{9A463858-2911-4A8E-9A36-1CB33421E0FA}">
      <tableStyleElement type="wholeTable" dxfId="16"/>
    </tableStyle>
  </tableStyles>
  <colors>
    <mruColors>
      <color rgb="FF660033"/>
      <color rgb="FF660066"/>
      <color rgb="FF3F1440"/>
      <color rgb="FFA50021"/>
      <color rgb="FF993366"/>
      <color rgb="FF800080"/>
      <color rgb="FFCC00FF"/>
      <color rgb="FFCC00CC"/>
      <color rgb="FF990033"/>
      <color rgb="FFD60093"/>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Sheet2!$B$4</c:f>
              <c:strCache>
                <c:ptCount val="1"/>
                <c:pt idx="0">
                  <c:v>Gender Distribution Anlysis</c:v>
                </c:pt>
              </c:strCache>
            </c:strRef>
          </c:tx>
          <c:dPt>
            <c:idx val="0"/>
            <c:bubble3D val="0"/>
            <c:spPr>
              <a:solidFill>
                <a:srgbClr val="4D23B7"/>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0A0-4F9D-8F41-A485C0C3D8D7}"/>
              </c:ext>
            </c:extLst>
          </c:dPt>
          <c:dPt>
            <c:idx val="1"/>
            <c:bubble3D val="0"/>
            <c:spPr>
              <a:solidFill>
                <a:srgbClr val="660066"/>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C477-4E05-9AD9-FEFFB0740D3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Sheet2!$A$5:$A$6</c:f>
              <c:strCache>
                <c:ptCount val="2"/>
                <c:pt idx="0">
                  <c:v>Male</c:v>
                </c:pt>
                <c:pt idx="1">
                  <c:v>Female</c:v>
                </c:pt>
              </c:strCache>
            </c:strRef>
          </c:cat>
          <c:val>
            <c:numRef>
              <c:f>Sheet2!$B$5:$B$6</c:f>
              <c:numCache>
                <c:formatCode>General</c:formatCode>
                <c:ptCount val="2"/>
                <c:pt idx="0">
                  <c:v>25</c:v>
                </c:pt>
                <c:pt idx="1">
                  <c:v>15</c:v>
                </c:pt>
              </c:numCache>
            </c:numRef>
          </c:val>
          <c:extLst>
            <c:ext xmlns:c16="http://schemas.microsoft.com/office/drawing/2014/chart" uri="{C3380CC4-5D6E-409C-BE32-E72D297353CC}">
              <c16:uniqueId val="{00000004-70A0-4F9D-8F41-A485C0C3D8D7}"/>
            </c:ext>
          </c:extLst>
        </c:ser>
        <c:dLbls>
          <c:showLegendKey val="0"/>
          <c:showVal val="0"/>
          <c:showCatName val="1"/>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[Task6.xlsx]Sheet2!PivotTable5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DISTRIBUTION OF INVESTMENT PREFERENCE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CC00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80008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C00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900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33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6009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99003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Sheet2!$D$8</c:f>
              <c:strCache>
                <c:ptCount val="1"/>
                <c:pt idx="0">
                  <c:v>Sum of Debentures</c:v>
                </c:pt>
              </c:strCache>
            </c:strRef>
          </c:tx>
          <c:spPr>
            <a:solidFill>
              <a:srgbClr val="CC00F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Sheet2!$C$9:$C$14</c:f>
              <c:multiLvlStrCache>
                <c:ptCount val="3"/>
                <c:lvl>
                  <c:pt idx="0">
                    <c:v>No</c:v>
                  </c:pt>
                  <c:pt idx="1">
                    <c:v>No</c:v>
                  </c:pt>
                  <c:pt idx="2">
                    <c:v>Yes</c:v>
                  </c:pt>
                </c:lvl>
                <c:lvl>
                  <c:pt idx="0">
                    <c:v>No</c:v>
                  </c:pt>
                  <c:pt idx="1">
                    <c:v>Yes</c:v>
                  </c:pt>
                </c:lvl>
              </c:multiLvlStrCache>
            </c:multiLvlStrRef>
          </c:cat>
          <c:val>
            <c:numRef>
              <c:f>Sheet2!$D$9:$D$14</c:f>
              <c:numCache>
                <c:formatCode>General</c:formatCode>
                <c:ptCount val="3"/>
                <c:pt idx="0">
                  <c:v>10</c:v>
                </c:pt>
                <c:pt idx="1">
                  <c:v>3</c:v>
                </c:pt>
                <c:pt idx="2">
                  <c:v>217</c:v>
                </c:pt>
              </c:numCache>
            </c:numRef>
          </c:val>
          <c:extLst>
            <c:ext xmlns:c16="http://schemas.microsoft.com/office/drawing/2014/chart" uri="{C3380CC4-5D6E-409C-BE32-E72D297353CC}">
              <c16:uniqueId val="{00000000-D3A1-4A93-942F-DD2CC642589B}"/>
            </c:ext>
          </c:extLst>
        </c:ser>
        <c:ser>
          <c:idx val="1"/>
          <c:order val="1"/>
          <c:tx>
            <c:strRef>
              <c:f>Sheet2!$E$8</c:f>
              <c:strCache>
                <c:ptCount val="1"/>
                <c:pt idx="0">
                  <c:v>Count of Investment_Avenues</c:v>
                </c:pt>
              </c:strCache>
            </c:strRef>
          </c:tx>
          <c:spPr>
            <a:solidFill>
              <a:srgbClr val="80008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Sheet2!$C$9:$C$14</c:f>
              <c:multiLvlStrCache>
                <c:ptCount val="3"/>
                <c:lvl>
                  <c:pt idx="0">
                    <c:v>No</c:v>
                  </c:pt>
                  <c:pt idx="1">
                    <c:v>No</c:v>
                  </c:pt>
                  <c:pt idx="2">
                    <c:v>Yes</c:v>
                  </c:pt>
                </c:lvl>
                <c:lvl>
                  <c:pt idx="0">
                    <c:v>No</c:v>
                  </c:pt>
                  <c:pt idx="1">
                    <c:v>Yes</c:v>
                  </c:pt>
                </c:lvl>
              </c:multiLvlStrCache>
            </c:multiLvlStrRef>
          </c:cat>
          <c:val>
            <c:numRef>
              <c:f>Sheet2!$E$9:$E$14</c:f>
              <c:numCache>
                <c:formatCode>General</c:formatCode>
                <c:ptCount val="3"/>
                <c:pt idx="0">
                  <c:v>3</c:v>
                </c:pt>
                <c:pt idx="1">
                  <c:v>2</c:v>
                </c:pt>
                <c:pt idx="2">
                  <c:v>35</c:v>
                </c:pt>
              </c:numCache>
            </c:numRef>
          </c:val>
          <c:extLst>
            <c:ext xmlns:c16="http://schemas.microsoft.com/office/drawing/2014/chart" uri="{C3380CC4-5D6E-409C-BE32-E72D297353CC}">
              <c16:uniqueId val="{00000001-D3A1-4A93-942F-DD2CC642589B}"/>
            </c:ext>
          </c:extLst>
        </c:ser>
        <c:ser>
          <c:idx val="2"/>
          <c:order val="2"/>
          <c:tx>
            <c:strRef>
              <c:f>Sheet2!$F$8</c:f>
              <c:strCache>
                <c:ptCount val="1"/>
                <c:pt idx="0">
                  <c:v>Sum of Equity_Market</c:v>
                </c:pt>
              </c:strCache>
            </c:strRef>
          </c:tx>
          <c:spPr>
            <a:solidFill>
              <a:srgbClr val="CC006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Sheet2!$C$9:$C$14</c:f>
              <c:multiLvlStrCache>
                <c:ptCount val="3"/>
                <c:lvl>
                  <c:pt idx="0">
                    <c:v>No</c:v>
                  </c:pt>
                  <c:pt idx="1">
                    <c:v>No</c:v>
                  </c:pt>
                  <c:pt idx="2">
                    <c:v>Yes</c:v>
                  </c:pt>
                </c:lvl>
                <c:lvl>
                  <c:pt idx="0">
                    <c:v>No</c:v>
                  </c:pt>
                  <c:pt idx="1">
                    <c:v>Yes</c:v>
                  </c:pt>
                </c:lvl>
              </c:multiLvlStrCache>
            </c:multiLvlStrRef>
          </c:cat>
          <c:val>
            <c:numRef>
              <c:f>Sheet2!$F$9:$F$14</c:f>
              <c:numCache>
                <c:formatCode>General</c:formatCode>
                <c:ptCount val="3"/>
                <c:pt idx="0">
                  <c:v>8</c:v>
                </c:pt>
                <c:pt idx="1">
                  <c:v>8</c:v>
                </c:pt>
                <c:pt idx="2">
                  <c:v>123</c:v>
                </c:pt>
              </c:numCache>
            </c:numRef>
          </c:val>
          <c:extLst>
            <c:ext xmlns:c16="http://schemas.microsoft.com/office/drawing/2014/chart" uri="{C3380CC4-5D6E-409C-BE32-E72D297353CC}">
              <c16:uniqueId val="{00000002-D3A1-4A93-942F-DD2CC642589B}"/>
            </c:ext>
          </c:extLst>
        </c:ser>
        <c:ser>
          <c:idx val="3"/>
          <c:order val="3"/>
          <c:tx>
            <c:strRef>
              <c:f>Sheet2!$G$8</c:f>
              <c:strCache>
                <c:ptCount val="1"/>
                <c:pt idx="0">
                  <c:v>Sum of Mutual_Funds</c:v>
                </c:pt>
              </c:strCache>
            </c:strRef>
          </c:tx>
          <c:spPr>
            <a:solidFill>
              <a:srgbClr val="9900CC"/>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Sheet2!$C$9:$C$14</c:f>
              <c:multiLvlStrCache>
                <c:ptCount val="3"/>
                <c:lvl>
                  <c:pt idx="0">
                    <c:v>No</c:v>
                  </c:pt>
                  <c:pt idx="1">
                    <c:v>No</c:v>
                  </c:pt>
                  <c:pt idx="2">
                    <c:v>Yes</c:v>
                  </c:pt>
                </c:lvl>
                <c:lvl>
                  <c:pt idx="0">
                    <c:v>No</c:v>
                  </c:pt>
                  <c:pt idx="1">
                    <c:v>Yes</c:v>
                  </c:pt>
                </c:lvl>
              </c:multiLvlStrCache>
            </c:multiLvlStrRef>
          </c:cat>
          <c:val>
            <c:numRef>
              <c:f>Sheet2!$G$9:$G$14</c:f>
              <c:numCache>
                <c:formatCode>General</c:formatCode>
                <c:ptCount val="3"/>
                <c:pt idx="0">
                  <c:v>10</c:v>
                </c:pt>
                <c:pt idx="1">
                  <c:v>8</c:v>
                </c:pt>
                <c:pt idx="2">
                  <c:v>84</c:v>
                </c:pt>
              </c:numCache>
            </c:numRef>
          </c:val>
          <c:extLst>
            <c:ext xmlns:c16="http://schemas.microsoft.com/office/drawing/2014/chart" uri="{C3380CC4-5D6E-409C-BE32-E72D297353CC}">
              <c16:uniqueId val="{00000003-D3A1-4A93-942F-DD2CC642589B}"/>
            </c:ext>
          </c:extLst>
        </c:ser>
        <c:ser>
          <c:idx val="4"/>
          <c:order val="4"/>
          <c:tx>
            <c:strRef>
              <c:f>Sheet2!$H$8</c:f>
              <c:strCache>
                <c:ptCount val="1"/>
                <c:pt idx="0">
                  <c:v>Sum of Government_Bonds</c:v>
                </c:pt>
              </c:strCache>
            </c:strRef>
          </c:tx>
          <c:spPr>
            <a:solidFill>
              <a:srgbClr val="FF3399"/>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Sheet2!$C$9:$C$14</c:f>
              <c:multiLvlStrCache>
                <c:ptCount val="3"/>
                <c:lvl>
                  <c:pt idx="0">
                    <c:v>No</c:v>
                  </c:pt>
                  <c:pt idx="1">
                    <c:v>No</c:v>
                  </c:pt>
                  <c:pt idx="2">
                    <c:v>Yes</c:v>
                  </c:pt>
                </c:lvl>
                <c:lvl>
                  <c:pt idx="0">
                    <c:v>No</c:v>
                  </c:pt>
                  <c:pt idx="1">
                    <c:v>Yes</c:v>
                  </c:pt>
                </c:lvl>
              </c:multiLvlStrCache>
            </c:multiLvlStrRef>
          </c:cat>
          <c:val>
            <c:numRef>
              <c:f>Sheet2!$H$9:$H$14</c:f>
              <c:numCache>
                <c:formatCode>General</c:formatCode>
                <c:ptCount val="3"/>
                <c:pt idx="0">
                  <c:v>16</c:v>
                </c:pt>
                <c:pt idx="1">
                  <c:v>3</c:v>
                </c:pt>
                <c:pt idx="2">
                  <c:v>167</c:v>
                </c:pt>
              </c:numCache>
            </c:numRef>
          </c:val>
          <c:extLst>
            <c:ext xmlns:c16="http://schemas.microsoft.com/office/drawing/2014/chart" uri="{C3380CC4-5D6E-409C-BE32-E72D297353CC}">
              <c16:uniqueId val="{00000004-D3A1-4A93-942F-DD2CC642589B}"/>
            </c:ext>
          </c:extLst>
        </c:ser>
        <c:ser>
          <c:idx val="5"/>
          <c:order val="5"/>
          <c:tx>
            <c:strRef>
              <c:f>Sheet2!$I$8</c:f>
              <c:strCache>
                <c:ptCount val="1"/>
                <c:pt idx="0">
                  <c:v>Sum of Fixed_Deposits</c:v>
                </c:pt>
              </c:strCache>
            </c:strRef>
          </c:tx>
          <c:spPr>
            <a:solidFill>
              <a:srgbClr val="D6009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Sheet2!$C$9:$C$14</c:f>
              <c:multiLvlStrCache>
                <c:ptCount val="3"/>
                <c:lvl>
                  <c:pt idx="0">
                    <c:v>No</c:v>
                  </c:pt>
                  <c:pt idx="1">
                    <c:v>No</c:v>
                  </c:pt>
                  <c:pt idx="2">
                    <c:v>Yes</c:v>
                  </c:pt>
                </c:lvl>
                <c:lvl>
                  <c:pt idx="0">
                    <c:v>No</c:v>
                  </c:pt>
                  <c:pt idx="1">
                    <c:v>Yes</c:v>
                  </c:pt>
                </c:lvl>
              </c:multiLvlStrCache>
            </c:multiLvlStrRef>
          </c:cat>
          <c:val>
            <c:numRef>
              <c:f>Sheet2!$I$9:$I$14</c:f>
              <c:numCache>
                <c:formatCode>General</c:formatCode>
                <c:ptCount val="3"/>
                <c:pt idx="0">
                  <c:v>12</c:v>
                </c:pt>
                <c:pt idx="1">
                  <c:v>12</c:v>
                </c:pt>
                <c:pt idx="2">
                  <c:v>119</c:v>
                </c:pt>
              </c:numCache>
            </c:numRef>
          </c:val>
          <c:extLst>
            <c:ext xmlns:c16="http://schemas.microsoft.com/office/drawing/2014/chart" uri="{C3380CC4-5D6E-409C-BE32-E72D297353CC}">
              <c16:uniqueId val="{00000005-D3A1-4A93-942F-DD2CC642589B}"/>
            </c:ext>
          </c:extLst>
        </c:ser>
        <c:ser>
          <c:idx val="6"/>
          <c:order val="6"/>
          <c:tx>
            <c:strRef>
              <c:f>Sheet2!$J$8</c:f>
              <c:strCache>
                <c:ptCount val="1"/>
                <c:pt idx="0">
                  <c:v>Sum of PPF</c:v>
                </c:pt>
              </c:strCache>
            </c:strRef>
          </c:tx>
          <c:spPr>
            <a:solidFill>
              <a:srgbClr val="99003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Sheet2!$C$9:$C$14</c:f>
              <c:multiLvlStrCache>
                <c:ptCount val="3"/>
                <c:lvl>
                  <c:pt idx="0">
                    <c:v>No</c:v>
                  </c:pt>
                  <c:pt idx="1">
                    <c:v>No</c:v>
                  </c:pt>
                  <c:pt idx="2">
                    <c:v>Yes</c:v>
                  </c:pt>
                </c:lvl>
                <c:lvl>
                  <c:pt idx="0">
                    <c:v>No</c:v>
                  </c:pt>
                  <c:pt idx="1">
                    <c:v>Yes</c:v>
                  </c:pt>
                </c:lvl>
              </c:multiLvlStrCache>
            </c:multiLvlStrRef>
          </c:cat>
          <c:val>
            <c:numRef>
              <c:f>Sheet2!$J$9:$J$14</c:f>
              <c:numCache>
                <c:formatCode>General</c:formatCode>
                <c:ptCount val="3"/>
                <c:pt idx="0">
                  <c:v>12</c:v>
                </c:pt>
                <c:pt idx="1">
                  <c:v>9</c:v>
                </c:pt>
                <c:pt idx="2">
                  <c:v>60</c:v>
                </c:pt>
              </c:numCache>
            </c:numRef>
          </c:val>
          <c:extLst>
            <c:ext xmlns:c16="http://schemas.microsoft.com/office/drawing/2014/chart" uri="{C3380CC4-5D6E-409C-BE32-E72D297353CC}">
              <c16:uniqueId val="{00000006-D3A1-4A93-942F-DD2CC642589B}"/>
            </c:ext>
          </c:extLst>
        </c:ser>
        <c:ser>
          <c:idx val="7"/>
          <c:order val="7"/>
          <c:tx>
            <c:strRef>
              <c:f>Sheet2!$K$8</c:f>
              <c:strCache>
                <c:ptCount val="1"/>
                <c:pt idx="0">
                  <c:v>Sum of Gold</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Sheet2!$C$9:$C$14</c:f>
              <c:multiLvlStrCache>
                <c:ptCount val="3"/>
                <c:lvl>
                  <c:pt idx="0">
                    <c:v>No</c:v>
                  </c:pt>
                  <c:pt idx="1">
                    <c:v>No</c:v>
                  </c:pt>
                  <c:pt idx="2">
                    <c:v>Yes</c:v>
                  </c:pt>
                </c:lvl>
                <c:lvl>
                  <c:pt idx="0">
                    <c:v>No</c:v>
                  </c:pt>
                  <c:pt idx="1">
                    <c:v>Yes</c:v>
                  </c:pt>
                </c:lvl>
              </c:multiLvlStrCache>
            </c:multiLvlStrRef>
          </c:cat>
          <c:val>
            <c:numRef>
              <c:f>Sheet2!$K$9:$K$14</c:f>
              <c:numCache>
                <c:formatCode>General</c:formatCode>
                <c:ptCount val="3"/>
                <c:pt idx="0">
                  <c:v>16</c:v>
                </c:pt>
                <c:pt idx="1">
                  <c:v>13</c:v>
                </c:pt>
                <c:pt idx="2">
                  <c:v>210</c:v>
                </c:pt>
              </c:numCache>
            </c:numRef>
          </c:val>
          <c:extLst>
            <c:ext xmlns:c16="http://schemas.microsoft.com/office/drawing/2014/chart" uri="{C3380CC4-5D6E-409C-BE32-E72D297353CC}">
              <c16:uniqueId val="{00000007-D3A1-4A93-942F-DD2CC642589B}"/>
            </c:ext>
          </c:extLst>
        </c:ser>
        <c:dLbls>
          <c:dLblPos val="ctr"/>
          <c:showLegendKey val="0"/>
          <c:showVal val="1"/>
          <c:showCatName val="0"/>
          <c:showSerName val="0"/>
          <c:showPercent val="0"/>
          <c:showBubbleSize val="0"/>
        </c:dLbls>
        <c:gapWidth val="115"/>
        <c:overlap val="-20"/>
        <c:axId val="797001176"/>
        <c:axId val="797002584"/>
      </c:barChart>
      <c:catAx>
        <c:axId val="7970011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797002584"/>
        <c:crosses val="autoZero"/>
        <c:auto val="1"/>
        <c:lblAlgn val="ctr"/>
        <c:lblOffset val="100"/>
        <c:noMultiLvlLbl val="0"/>
      </c:catAx>
      <c:valAx>
        <c:axId val="7970025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797001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[Task6.xlsx]Sheet2!PivotTable1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Reasons for Investment Choices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00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6009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33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00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Sheet2!$B$17</c:f>
              <c:strCache>
                <c:ptCount val="1"/>
                <c:pt idx="0">
                  <c:v>Count of Reason_Equity</c:v>
                </c:pt>
              </c:strCache>
            </c:strRef>
          </c:tx>
          <c:spPr>
            <a:solidFill>
              <a:srgbClr val="CC006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Sheet2!$A$18:$A$58</c:f>
              <c:multiLvlStrCache>
                <c:ptCount val="18"/>
                <c:lvl>
                  <c:pt idx="0">
                    <c:v>Fixed Returns</c:v>
                  </c:pt>
                  <c:pt idx="1">
                    <c:v>High Interest Rates</c:v>
                  </c:pt>
                  <c:pt idx="2">
                    <c:v>Risk Free</c:v>
                  </c:pt>
                  <c:pt idx="3">
                    <c:v>Fixed Returns</c:v>
                  </c:pt>
                  <c:pt idx="4">
                    <c:v>Risk Free</c:v>
                  </c:pt>
                  <c:pt idx="5">
                    <c:v>Fixed Returns</c:v>
                  </c:pt>
                  <c:pt idx="6">
                    <c:v>Risk Free</c:v>
                  </c:pt>
                  <c:pt idx="7">
                    <c:v>Fixed Returns</c:v>
                  </c:pt>
                  <c:pt idx="8">
                    <c:v>Fixed Returns</c:v>
                  </c:pt>
                  <c:pt idx="9">
                    <c:v>Fixed Returns</c:v>
                  </c:pt>
                  <c:pt idx="10">
                    <c:v>Risk Free</c:v>
                  </c:pt>
                  <c:pt idx="11">
                    <c:v>Fixed Returns</c:v>
                  </c:pt>
                  <c:pt idx="12">
                    <c:v>High Interest Rates</c:v>
                  </c:pt>
                  <c:pt idx="13">
                    <c:v>Risk Free</c:v>
                  </c:pt>
                  <c:pt idx="14">
                    <c:v>Fixed Returns</c:v>
                  </c:pt>
                  <c:pt idx="15">
                    <c:v>High Interest Rates</c:v>
                  </c:pt>
                  <c:pt idx="16">
                    <c:v>Risk Free</c:v>
                  </c:pt>
                  <c:pt idx="17">
                    <c:v>Risk Free</c:v>
                  </c:pt>
                </c:lvl>
                <c:lvl>
                  <c:pt idx="0">
                    <c:v>Assured Returns</c:v>
                  </c:pt>
                  <c:pt idx="3">
                    <c:v>Safe Investment</c:v>
                  </c:pt>
                  <c:pt idx="5">
                    <c:v>Assured Returns</c:v>
                  </c:pt>
                  <c:pt idx="7">
                    <c:v>Safe Investment</c:v>
                  </c:pt>
                  <c:pt idx="8">
                    <c:v>Assured Returns</c:v>
                  </c:pt>
                  <c:pt idx="9">
                    <c:v>Safe Investment</c:v>
                  </c:pt>
                  <c:pt idx="10">
                    <c:v>Assured Returns</c:v>
                  </c:pt>
                  <c:pt idx="11">
                    <c:v>Safe Investment</c:v>
                  </c:pt>
                  <c:pt idx="14">
                    <c:v>Assured Returns</c:v>
                  </c:pt>
                  <c:pt idx="15">
                    <c:v>Tax Incentives</c:v>
                  </c:pt>
                  <c:pt idx="16">
                    <c:v>Assured Returns</c:v>
                  </c:pt>
                  <c:pt idx="17">
                    <c:v>Safe Investment</c:v>
                  </c:pt>
                </c:lvl>
                <c:lvl>
                  <c:pt idx="0">
                    <c:v>Better Returns</c:v>
                  </c:pt>
                  <c:pt idx="5">
                    <c:v>Fund Diversification</c:v>
                  </c:pt>
                  <c:pt idx="8">
                    <c:v>Tax Benefits</c:v>
                  </c:pt>
                  <c:pt idx="10">
                    <c:v>Better Returns</c:v>
                  </c:pt>
                  <c:pt idx="14">
                    <c:v>Fund Diversification</c:v>
                  </c:pt>
                  <c:pt idx="16">
                    <c:v>Better Returns</c:v>
                  </c:pt>
                  <c:pt idx="17">
                    <c:v>Fund Diversification</c:v>
                  </c:pt>
                </c:lvl>
                <c:lvl>
                  <c:pt idx="0">
                    <c:v>Capital Appreciation</c:v>
                  </c:pt>
                  <c:pt idx="10">
                    <c:v>Dividend</c:v>
                  </c:pt>
                  <c:pt idx="16">
                    <c:v>Liquidity</c:v>
                  </c:pt>
                </c:lvl>
              </c:multiLvlStrCache>
            </c:multiLvlStrRef>
          </c:cat>
          <c:val>
            <c:numRef>
              <c:f>Sheet2!$B$18:$B$58</c:f>
              <c:numCache>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Cache>
            </c:numRef>
          </c:val>
          <c:extLst>
            <c:ext xmlns:c16="http://schemas.microsoft.com/office/drawing/2014/chart" uri="{C3380CC4-5D6E-409C-BE32-E72D297353CC}">
              <c16:uniqueId val="{00000000-5D95-4924-9211-599EC1176A3B}"/>
            </c:ext>
          </c:extLst>
        </c:ser>
        <c:ser>
          <c:idx val="1"/>
          <c:order val="1"/>
          <c:tx>
            <c:strRef>
              <c:f>Sheet2!$C$17</c:f>
              <c:strCache>
                <c:ptCount val="1"/>
                <c:pt idx="0">
                  <c:v>Count of Reason_Mutual</c:v>
                </c:pt>
              </c:strCache>
            </c:strRef>
          </c:tx>
          <c:spPr>
            <a:solidFill>
              <a:srgbClr val="D6009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Sheet2!$A$18:$A$58</c:f>
              <c:multiLvlStrCache>
                <c:ptCount val="18"/>
                <c:lvl>
                  <c:pt idx="0">
                    <c:v>Fixed Returns</c:v>
                  </c:pt>
                  <c:pt idx="1">
                    <c:v>High Interest Rates</c:v>
                  </c:pt>
                  <c:pt idx="2">
                    <c:v>Risk Free</c:v>
                  </c:pt>
                  <c:pt idx="3">
                    <c:v>Fixed Returns</c:v>
                  </c:pt>
                  <c:pt idx="4">
                    <c:v>Risk Free</c:v>
                  </c:pt>
                  <c:pt idx="5">
                    <c:v>Fixed Returns</c:v>
                  </c:pt>
                  <c:pt idx="6">
                    <c:v>Risk Free</c:v>
                  </c:pt>
                  <c:pt idx="7">
                    <c:v>Fixed Returns</c:v>
                  </c:pt>
                  <c:pt idx="8">
                    <c:v>Fixed Returns</c:v>
                  </c:pt>
                  <c:pt idx="9">
                    <c:v>Fixed Returns</c:v>
                  </c:pt>
                  <c:pt idx="10">
                    <c:v>Risk Free</c:v>
                  </c:pt>
                  <c:pt idx="11">
                    <c:v>Fixed Returns</c:v>
                  </c:pt>
                  <c:pt idx="12">
                    <c:v>High Interest Rates</c:v>
                  </c:pt>
                  <c:pt idx="13">
                    <c:v>Risk Free</c:v>
                  </c:pt>
                  <c:pt idx="14">
                    <c:v>Fixed Returns</c:v>
                  </c:pt>
                  <c:pt idx="15">
                    <c:v>High Interest Rates</c:v>
                  </c:pt>
                  <c:pt idx="16">
                    <c:v>Risk Free</c:v>
                  </c:pt>
                  <c:pt idx="17">
                    <c:v>Risk Free</c:v>
                  </c:pt>
                </c:lvl>
                <c:lvl>
                  <c:pt idx="0">
                    <c:v>Assured Returns</c:v>
                  </c:pt>
                  <c:pt idx="3">
                    <c:v>Safe Investment</c:v>
                  </c:pt>
                  <c:pt idx="5">
                    <c:v>Assured Returns</c:v>
                  </c:pt>
                  <c:pt idx="7">
                    <c:v>Safe Investment</c:v>
                  </c:pt>
                  <c:pt idx="8">
                    <c:v>Assured Returns</c:v>
                  </c:pt>
                  <c:pt idx="9">
                    <c:v>Safe Investment</c:v>
                  </c:pt>
                  <c:pt idx="10">
                    <c:v>Assured Returns</c:v>
                  </c:pt>
                  <c:pt idx="11">
                    <c:v>Safe Investment</c:v>
                  </c:pt>
                  <c:pt idx="14">
                    <c:v>Assured Returns</c:v>
                  </c:pt>
                  <c:pt idx="15">
                    <c:v>Tax Incentives</c:v>
                  </c:pt>
                  <c:pt idx="16">
                    <c:v>Assured Returns</c:v>
                  </c:pt>
                  <c:pt idx="17">
                    <c:v>Safe Investment</c:v>
                  </c:pt>
                </c:lvl>
                <c:lvl>
                  <c:pt idx="0">
                    <c:v>Better Returns</c:v>
                  </c:pt>
                  <c:pt idx="5">
                    <c:v>Fund Diversification</c:v>
                  </c:pt>
                  <c:pt idx="8">
                    <c:v>Tax Benefits</c:v>
                  </c:pt>
                  <c:pt idx="10">
                    <c:v>Better Returns</c:v>
                  </c:pt>
                  <c:pt idx="14">
                    <c:v>Fund Diversification</c:v>
                  </c:pt>
                  <c:pt idx="16">
                    <c:v>Better Returns</c:v>
                  </c:pt>
                  <c:pt idx="17">
                    <c:v>Fund Diversification</c:v>
                  </c:pt>
                </c:lvl>
                <c:lvl>
                  <c:pt idx="0">
                    <c:v>Capital Appreciation</c:v>
                  </c:pt>
                  <c:pt idx="10">
                    <c:v>Dividend</c:v>
                  </c:pt>
                  <c:pt idx="16">
                    <c:v>Liquidity</c:v>
                  </c:pt>
                </c:lvl>
              </c:multiLvlStrCache>
            </c:multiLvlStrRef>
          </c:cat>
          <c:val>
            <c:numRef>
              <c:f>Sheet2!$C$18:$C$58</c:f>
              <c:numCache>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Cache>
            </c:numRef>
          </c:val>
          <c:extLst>
            <c:ext xmlns:c16="http://schemas.microsoft.com/office/drawing/2014/chart" uri="{C3380CC4-5D6E-409C-BE32-E72D297353CC}">
              <c16:uniqueId val="{00000001-5D95-4924-9211-599EC1176A3B}"/>
            </c:ext>
          </c:extLst>
        </c:ser>
        <c:ser>
          <c:idx val="2"/>
          <c:order val="2"/>
          <c:tx>
            <c:strRef>
              <c:f>Sheet2!$D$17</c:f>
              <c:strCache>
                <c:ptCount val="1"/>
                <c:pt idx="0">
                  <c:v>Count of Reason_Bonds</c:v>
                </c:pt>
              </c:strCache>
            </c:strRef>
          </c:tx>
          <c:spPr>
            <a:solidFill>
              <a:srgbClr val="FF3399"/>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Sheet2!$A$18:$A$58</c:f>
              <c:multiLvlStrCache>
                <c:ptCount val="18"/>
                <c:lvl>
                  <c:pt idx="0">
                    <c:v>Fixed Returns</c:v>
                  </c:pt>
                  <c:pt idx="1">
                    <c:v>High Interest Rates</c:v>
                  </c:pt>
                  <c:pt idx="2">
                    <c:v>Risk Free</c:v>
                  </c:pt>
                  <c:pt idx="3">
                    <c:v>Fixed Returns</c:v>
                  </c:pt>
                  <c:pt idx="4">
                    <c:v>Risk Free</c:v>
                  </c:pt>
                  <c:pt idx="5">
                    <c:v>Fixed Returns</c:v>
                  </c:pt>
                  <c:pt idx="6">
                    <c:v>Risk Free</c:v>
                  </c:pt>
                  <c:pt idx="7">
                    <c:v>Fixed Returns</c:v>
                  </c:pt>
                  <c:pt idx="8">
                    <c:v>Fixed Returns</c:v>
                  </c:pt>
                  <c:pt idx="9">
                    <c:v>Fixed Returns</c:v>
                  </c:pt>
                  <c:pt idx="10">
                    <c:v>Risk Free</c:v>
                  </c:pt>
                  <c:pt idx="11">
                    <c:v>Fixed Returns</c:v>
                  </c:pt>
                  <c:pt idx="12">
                    <c:v>High Interest Rates</c:v>
                  </c:pt>
                  <c:pt idx="13">
                    <c:v>Risk Free</c:v>
                  </c:pt>
                  <c:pt idx="14">
                    <c:v>Fixed Returns</c:v>
                  </c:pt>
                  <c:pt idx="15">
                    <c:v>High Interest Rates</c:v>
                  </c:pt>
                  <c:pt idx="16">
                    <c:v>Risk Free</c:v>
                  </c:pt>
                  <c:pt idx="17">
                    <c:v>Risk Free</c:v>
                  </c:pt>
                </c:lvl>
                <c:lvl>
                  <c:pt idx="0">
                    <c:v>Assured Returns</c:v>
                  </c:pt>
                  <c:pt idx="3">
                    <c:v>Safe Investment</c:v>
                  </c:pt>
                  <c:pt idx="5">
                    <c:v>Assured Returns</c:v>
                  </c:pt>
                  <c:pt idx="7">
                    <c:v>Safe Investment</c:v>
                  </c:pt>
                  <c:pt idx="8">
                    <c:v>Assured Returns</c:v>
                  </c:pt>
                  <c:pt idx="9">
                    <c:v>Safe Investment</c:v>
                  </c:pt>
                  <c:pt idx="10">
                    <c:v>Assured Returns</c:v>
                  </c:pt>
                  <c:pt idx="11">
                    <c:v>Safe Investment</c:v>
                  </c:pt>
                  <c:pt idx="14">
                    <c:v>Assured Returns</c:v>
                  </c:pt>
                  <c:pt idx="15">
                    <c:v>Tax Incentives</c:v>
                  </c:pt>
                  <c:pt idx="16">
                    <c:v>Assured Returns</c:v>
                  </c:pt>
                  <c:pt idx="17">
                    <c:v>Safe Investment</c:v>
                  </c:pt>
                </c:lvl>
                <c:lvl>
                  <c:pt idx="0">
                    <c:v>Better Returns</c:v>
                  </c:pt>
                  <c:pt idx="5">
                    <c:v>Fund Diversification</c:v>
                  </c:pt>
                  <c:pt idx="8">
                    <c:v>Tax Benefits</c:v>
                  </c:pt>
                  <c:pt idx="10">
                    <c:v>Better Returns</c:v>
                  </c:pt>
                  <c:pt idx="14">
                    <c:v>Fund Diversification</c:v>
                  </c:pt>
                  <c:pt idx="16">
                    <c:v>Better Returns</c:v>
                  </c:pt>
                  <c:pt idx="17">
                    <c:v>Fund Diversification</c:v>
                  </c:pt>
                </c:lvl>
                <c:lvl>
                  <c:pt idx="0">
                    <c:v>Capital Appreciation</c:v>
                  </c:pt>
                  <c:pt idx="10">
                    <c:v>Dividend</c:v>
                  </c:pt>
                  <c:pt idx="16">
                    <c:v>Liquidity</c:v>
                  </c:pt>
                </c:lvl>
              </c:multiLvlStrCache>
            </c:multiLvlStrRef>
          </c:cat>
          <c:val>
            <c:numRef>
              <c:f>Sheet2!$D$18:$D$58</c:f>
              <c:numCache>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Cache>
            </c:numRef>
          </c:val>
          <c:extLst>
            <c:ext xmlns:c16="http://schemas.microsoft.com/office/drawing/2014/chart" uri="{C3380CC4-5D6E-409C-BE32-E72D297353CC}">
              <c16:uniqueId val="{00000002-5D95-4924-9211-599EC1176A3B}"/>
            </c:ext>
          </c:extLst>
        </c:ser>
        <c:ser>
          <c:idx val="3"/>
          <c:order val="3"/>
          <c:tx>
            <c:strRef>
              <c:f>Sheet2!$E$17</c:f>
              <c:strCache>
                <c:ptCount val="1"/>
                <c:pt idx="0">
                  <c:v>Count of Reason_FD</c:v>
                </c:pt>
              </c:strCache>
            </c:strRef>
          </c:tx>
          <c:spPr>
            <a:solidFill>
              <a:srgbClr val="990099"/>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Sheet2!$A$18:$A$58</c:f>
              <c:multiLvlStrCache>
                <c:ptCount val="18"/>
                <c:lvl>
                  <c:pt idx="0">
                    <c:v>Fixed Returns</c:v>
                  </c:pt>
                  <c:pt idx="1">
                    <c:v>High Interest Rates</c:v>
                  </c:pt>
                  <c:pt idx="2">
                    <c:v>Risk Free</c:v>
                  </c:pt>
                  <c:pt idx="3">
                    <c:v>Fixed Returns</c:v>
                  </c:pt>
                  <c:pt idx="4">
                    <c:v>Risk Free</c:v>
                  </c:pt>
                  <c:pt idx="5">
                    <c:v>Fixed Returns</c:v>
                  </c:pt>
                  <c:pt idx="6">
                    <c:v>Risk Free</c:v>
                  </c:pt>
                  <c:pt idx="7">
                    <c:v>Fixed Returns</c:v>
                  </c:pt>
                  <c:pt idx="8">
                    <c:v>Fixed Returns</c:v>
                  </c:pt>
                  <c:pt idx="9">
                    <c:v>Fixed Returns</c:v>
                  </c:pt>
                  <c:pt idx="10">
                    <c:v>Risk Free</c:v>
                  </c:pt>
                  <c:pt idx="11">
                    <c:v>Fixed Returns</c:v>
                  </c:pt>
                  <c:pt idx="12">
                    <c:v>High Interest Rates</c:v>
                  </c:pt>
                  <c:pt idx="13">
                    <c:v>Risk Free</c:v>
                  </c:pt>
                  <c:pt idx="14">
                    <c:v>Fixed Returns</c:v>
                  </c:pt>
                  <c:pt idx="15">
                    <c:v>High Interest Rates</c:v>
                  </c:pt>
                  <c:pt idx="16">
                    <c:v>Risk Free</c:v>
                  </c:pt>
                  <c:pt idx="17">
                    <c:v>Risk Free</c:v>
                  </c:pt>
                </c:lvl>
                <c:lvl>
                  <c:pt idx="0">
                    <c:v>Assured Returns</c:v>
                  </c:pt>
                  <c:pt idx="3">
                    <c:v>Safe Investment</c:v>
                  </c:pt>
                  <c:pt idx="5">
                    <c:v>Assured Returns</c:v>
                  </c:pt>
                  <c:pt idx="7">
                    <c:v>Safe Investment</c:v>
                  </c:pt>
                  <c:pt idx="8">
                    <c:v>Assured Returns</c:v>
                  </c:pt>
                  <c:pt idx="9">
                    <c:v>Safe Investment</c:v>
                  </c:pt>
                  <c:pt idx="10">
                    <c:v>Assured Returns</c:v>
                  </c:pt>
                  <c:pt idx="11">
                    <c:v>Safe Investment</c:v>
                  </c:pt>
                  <c:pt idx="14">
                    <c:v>Assured Returns</c:v>
                  </c:pt>
                  <c:pt idx="15">
                    <c:v>Tax Incentives</c:v>
                  </c:pt>
                  <c:pt idx="16">
                    <c:v>Assured Returns</c:v>
                  </c:pt>
                  <c:pt idx="17">
                    <c:v>Safe Investment</c:v>
                  </c:pt>
                </c:lvl>
                <c:lvl>
                  <c:pt idx="0">
                    <c:v>Better Returns</c:v>
                  </c:pt>
                  <c:pt idx="5">
                    <c:v>Fund Diversification</c:v>
                  </c:pt>
                  <c:pt idx="8">
                    <c:v>Tax Benefits</c:v>
                  </c:pt>
                  <c:pt idx="10">
                    <c:v>Better Returns</c:v>
                  </c:pt>
                  <c:pt idx="14">
                    <c:v>Fund Diversification</c:v>
                  </c:pt>
                  <c:pt idx="16">
                    <c:v>Better Returns</c:v>
                  </c:pt>
                  <c:pt idx="17">
                    <c:v>Fund Diversification</c:v>
                  </c:pt>
                </c:lvl>
                <c:lvl>
                  <c:pt idx="0">
                    <c:v>Capital Appreciation</c:v>
                  </c:pt>
                  <c:pt idx="10">
                    <c:v>Dividend</c:v>
                  </c:pt>
                  <c:pt idx="16">
                    <c:v>Liquidity</c:v>
                  </c:pt>
                </c:lvl>
              </c:multiLvlStrCache>
            </c:multiLvlStrRef>
          </c:cat>
          <c:val>
            <c:numRef>
              <c:f>Sheet2!$E$18:$E$58</c:f>
              <c:numCache>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Cache>
            </c:numRef>
          </c:val>
          <c:extLst>
            <c:ext xmlns:c16="http://schemas.microsoft.com/office/drawing/2014/chart" uri="{C3380CC4-5D6E-409C-BE32-E72D297353CC}">
              <c16:uniqueId val="{00000003-5D95-4924-9211-599EC1176A3B}"/>
            </c:ext>
          </c:extLst>
        </c:ser>
        <c:dLbls>
          <c:dLblPos val="ctr"/>
          <c:showLegendKey val="0"/>
          <c:showVal val="1"/>
          <c:showCatName val="0"/>
          <c:showSerName val="0"/>
          <c:showPercent val="0"/>
          <c:showBubbleSize val="0"/>
        </c:dLbls>
        <c:gapWidth val="150"/>
        <c:overlap val="100"/>
        <c:axId val="798376344"/>
        <c:axId val="798384088"/>
      </c:barChart>
      <c:catAx>
        <c:axId val="798376344"/>
        <c:scaling>
          <c:orientation val="minMax"/>
        </c:scaling>
        <c:delete val="1"/>
        <c:axPos val="b"/>
        <c:numFmt formatCode="General" sourceLinked="1"/>
        <c:majorTickMark val="none"/>
        <c:minorTickMark val="none"/>
        <c:tickLblPos val="nextTo"/>
        <c:crossAx val="798384088"/>
        <c:crosses val="autoZero"/>
        <c:auto val="1"/>
        <c:lblAlgn val="ctr"/>
        <c:lblOffset val="100"/>
        <c:noMultiLvlLbl val="0"/>
      </c:catAx>
      <c:valAx>
        <c:axId val="798384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79837634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[Task6.xlsx]Sheet2!PivotTable2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SOURCES OF INVESTMENT INFORMATION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60066"/>
          </a:solidFill>
          <a:ln>
            <a:noFill/>
          </a:ln>
          <a:effectLst>
            <a:outerShdw blurRad="57150" dist="19050" dir="5400000" algn="ctr" rotWithShape="0">
              <a:srgbClr val="000000">
                <a:alpha val="63000"/>
              </a:srgbClr>
            </a:outerShdw>
          </a:effectLst>
        </c:spPr>
      </c:pivotFmt>
      <c:pivotFmt>
        <c:idx val="4"/>
        <c:spPr>
          <a:solidFill>
            <a:srgbClr val="660033"/>
          </a:solidFill>
          <a:ln>
            <a:noFill/>
          </a:ln>
          <a:effectLst>
            <a:outerShdw blurRad="57150" dist="19050" dir="5400000" algn="ctr" rotWithShape="0">
              <a:srgbClr val="000000">
                <a:alpha val="63000"/>
              </a:srgbClr>
            </a:outerShdw>
          </a:effectLst>
        </c:spPr>
      </c:pivotFmt>
      <c:pivotFmt>
        <c:idx val="5"/>
        <c:spPr>
          <a:solidFill>
            <a:srgbClr val="EB5CF6"/>
          </a:solidFill>
          <a:ln>
            <a:noFill/>
          </a:ln>
          <a:effectLst>
            <a:outerShdw blurRad="57150" dist="19050" dir="5400000" algn="ctr" rotWithShape="0">
              <a:srgbClr val="000000">
                <a:alpha val="63000"/>
              </a:srgbClr>
            </a:outerShdw>
          </a:effectLst>
        </c:spPr>
      </c:pivotFmt>
      <c:pivotFmt>
        <c:idx val="6"/>
        <c:spPr>
          <a:solidFill>
            <a:srgbClr val="FF3399"/>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Sheet2!$H$17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33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EC79-412B-B9CD-863C9AA2AD83}"/>
              </c:ext>
            </c:extLst>
          </c:dPt>
          <c:dPt>
            <c:idx val="1"/>
            <c:invertIfNegative val="0"/>
            <c:bubble3D val="0"/>
            <c:spPr>
              <a:solidFill>
                <a:srgbClr val="EB5CF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C79-412B-B9CD-863C9AA2AD83}"/>
              </c:ext>
            </c:extLst>
          </c:dPt>
          <c:dPt>
            <c:idx val="2"/>
            <c:invertIfNegative val="0"/>
            <c:bubble3D val="0"/>
            <c:spPr>
              <a:solidFill>
                <a:srgbClr val="66003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EC79-412B-B9CD-863C9AA2AD83}"/>
              </c:ext>
            </c:extLst>
          </c:dPt>
          <c:dPt>
            <c:idx val="3"/>
            <c:invertIfNegative val="0"/>
            <c:bubble3D val="0"/>
            <c:spPr>
              <a:solidFill>
                <a:srgbClr val="66006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C79-412B-B9CD-863C9AA2AD83}"/>
              </c:ext>
            </c:extLst>
          </c:dPt>
          <c:cat>
            <c:strRef>
              <c:f>Sheet2!$G$18:$G$22</c:f>
              <c:strCache>
                <c:ptCount val="4"/>
                <c:pt idx="0">
                  <c:v>Financial Consultants</c:v>
                </c:pt>
                <c:pt idx="1">
                  <c:v>Internet</c:v>
                </c:pt>
                <c:pt idx="2">
                  <c:v>Newspapers and Magazines</c:v>
                </c:pt>
                <c:pt idx="3">
                  <c:v>Television</c:v>
                </c:pt>
              </c:strCache>
            </c:strRef>
          </c:cat>
          <c:val>
            <c:numRef>
              <c:f>Sheet2!$H$18:$H$22</c:f>
              <c:numCache>
                <c:formatCode>General</c:formatCode>
                <c:ptCount val="4"/>
                <c:pt idx="0">
                  <c:v>16</c:v>
                </c:pt>
                <c:pt idx="1">
                  <c:v>4</c:v>
                </c:pt>
                <c:pt idx="2">
                  <c:v>14</c:v>
                </c:pt>
                <c:pt idx="3">
                  <c:v>6</c:v>
                </c:pt>
              </c:numCache>
            </c:numRef>
          </c:val>
          <c:extLst>
            <c:ext xmlns:c16="http://schemas.microsoft.com/office/drawing/2014/chart" uri="{C3380CC4-5D6E-409C-BE32-E72D297353CC}">
              <c16:uniqueId val="{00000000-EC79-412B-B9CD-863C9AA2AD83}"/>
            </c:ext>
          </c:extLst>
        </c:ser>
        <c:dLbls>
          <c:showLegendKey val="0"/>
          <c:showVal val="0"/>
          <c:showCatName val="0"/>
          <c:showSerName val="0"/>
          <c:showPercent val="0"/>
          <c:showBubbleSize val="0"/>
        </c:dLbls>
        <c:gapWidth val="115"/>
        <c:overlap val="-20"/>
        <c:axId val="798379864"/>
        <c:axId val="798380216"/>
      </c:barChart>
      <c:catAx>
        <c:axId val="7983798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798380216"/>
        <c:crosses val="autoZero"/>
        <c:auto val="1"/>
        <c:lblAlgn val="ctr"/>
        <c:lblOffset val="100"/>
        <c:noMultiLvlLbl val="0"/>
      </c:catAx>
      <c:valAx>
        <c:axId val="7983802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798379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[Task6.xlsx]Sheet2!PivotTable3</c:name>
    <c:fmtId val="6"/>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solidFill>
                  <a:schemeClr val="bg1"/>
                </a:solidFill>
              </a:rPr>
              <a:t>DISTRIBUTION OF SAVINGS</a:t>
            </a:r>
            <a:r>
              <a:rPr lang="en-US" baseline="0">
                <a:solidFill>
                  <a:schemeClr val="bg1"/>
                </a:solidFill>
              </a:rPr>
              <a:t> OBJECTIVE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0">
                <a:srgbClr val="EB5CF6">
                  <a:shade val="30000"/>
                  <a:satMod val="115000"/>
                </a:srgbClr>
              </a:gs>
              <a:gs pos="50000">
                <a:srgbClr val="EB5CF6">
                  <a:shade val="67500"/>
                  <a:satMod val="115000"/>
                </a:srgbClr>
              </a:gs>
              <a:gs pos="100000">
                <a:srgbClr val="EB5CF6">
                  <a:shade val="100000"/>
                  <a:satMod val="115000"/>
                </a:srgbClr>
              </a:gs>
            </a:gsLst>
            <a:lin ang="5400000" scaled="1"/>
          </a:gra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4B112A"/>
          </a:solidFill>
          <a:ln>
            <a:noFill/>
          </a:ln>
          <a:effectLst/>
          <a:scene3d>
            <a:camera prst="orthographicFront"/>
            <a:lightRig rig="brightRoom" dir="t"/>
          </a:scene3d>
          <a:sp3d prstMaterial="flat">
            <a:bevelT w="50800" h="101600" prst="angle"/>
            <a:contourClr>
              <a:srgbClr val="000000"/>
            </a:contourClr>
          </a:sp3d>
        </c:spPr>
      </c:pivotFmt>
      <c:pivotFmt>
        <c:idx val="8"/>
        <c:spPr>
          <a:gradFill>
            <a:gsLst>
              <a:gs pos="0">
                <a:srgbClr val="FF3399">
                  <a:shade val="30000"/>
                  <a:satMod val="115000"/>
                </a:srgbClr>
              </a:gs>
              <a:gs pos="50000">
                <a:srgbClr val="FF3399">
                  <a:shade val="67500"/>
                  <a:satMod val="115000"/>
                </a:srgbClr>
              </a:gs>
              <a:gs pos="100000">
                <a:srgbClr val="FF3399">
                  <a:shade val="100000"/>
                  <a:satMod val="115000"/>
                </a:srgbClr>
              </a:gs>
            </a:gsLst>
            <a:lin ang="0" scaled="1"/>
          </a:gra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Sheet2!$D$62</c:f>
              <c:strCache>
                <c:ptCount val="1"/>
                <c:pt idx="0">
                  <c:v>Total</c:v>
                </c:pt>
              </c:strCache>
            </c:strRef>
          </c:tx>
          <c:dPt>
            <c:idx val="0"/>
            <c:bubble3D val="0"/>
            <c:spPr>
              <a:gradFill>
                <a:gsLst>
                  <a:gs pos="0">
                    <a:srgbClr val="EB5CF6">
                      <a:shade val="30000"/>
                      <a:satMod val="115000"/>
                    </a:srgbClr>
                  </a:gs>
                  <a:gs pos="50000">
                    <a:srgbClr val="EB5CF6">
                      <a:shade val="67500"/>
                      <a:satMod val="115000"/>
                    </a:srgbClr>
                  </a:gs>
                  <a:gs pos="100000">
                    <a:srgbClr val="EB5CF6">
                      <a:shade val="100000"/>
                      <a:satMod val="115000"/>
                    </a:srgb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65B-41A9-9B54-3C5752CC4DC8}"/>
              </c:ext>
            </c:extLst>
          </c:dPt>
          <c:dPt>
            <c:idx val="1"/>
            <c:bubble3D val="0"/>
            <c:spPr>
              <a:solidFill>
                <a:srgbClr val="4B112A"/>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65B-41A9-9B54-3C5752CC4DC8}"/>
              </c:ext>
            </c:extLst>
          </c:dPt>
          <c:dPt>
            <c:idx val="2"/>
            <c:bubble3D val="0"/>
            <c:spPr>
              <a:gradFill>
                <a:gsLst>
                  <a:gs pos="0">
                    <a:srgbClr val="FF3399">
                      <a:shade val="30000"/>
                      <a:satMod val="115000"/>
                    </a:srgbClr>
                  </a:gs>
                  <a:gs pos="50000">
                    <a:srgbClr val="FF3399">
                      <a:shade val="67500"/>
                      <a:satMod val="115000"/>
                    </a:srgbClr>
                  </a:gs>
                  <a:gs pos="100000">
                    <a:srgbClr val="FF3399">
                      <a:shade val="100000"/>
                      <a:satMod val="115000"/>
                    </a:srgbClr>
                  </a:gs>
                </a:gsLst>
                <a:lin ang="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65B-41A9-9B54-3C5752CC4D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Sheet2!$C$63:$C$66</c:f>
              <c:strCache>
                <c:ptCount val="3"/>
                <c:pt idx="0">
                  <c:v>Education</c:v>
                </c:pt>
                <c:pt idx="1">
                  <c:v>Health Care</c:v>
                </c:pt>
                <c:pt idx="2">
                  <c:v>Retirement Plan</c:v>
                </c:pt>
              </c:strCache>
            </c:strRef>
          </c:cat>
          <c:val>
            <c:numRef>
              <c:f>Sheet2!$D$63:$D$66</c:f>
              <c:numCache>
                <c:formatCode>General</c:formatCode>
                <c:ptCount val="3"/>
                <c:pt idx="0">
                  <c:v>3</c:v>
                </c:pt>
                <c:pt idx="1">
                  <c:v>13</c:v>
                </c:pt>
                <c:pt idx="2">
                  <c:v>24</c:v>
                </c:pt>
              </c:numCache>
            </c:numRef>
          </c:val>
          <c:extLst>
            <c:ext xmlns:c16="http://schemas.microsoft.com/office/drawing/2014/chart" uri="{C3380CC4-5D6E-409C-BE32-E72D297353CC}">
              <c16:uniqueId val="{00000006-D65B-41A9-9B54-3C5752CC4DC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[Task6.xlsx]Sheet2!PivotTable10</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PARTICIPANTS INVESTMENT EXPECTATION</a:t>
            </a:r>
          </a:p>
        </c:rich>
      </c:tx>
      <c:layout>
        <c:manualLayout>
          <c:xMode val="edge"/>
          <c:yMode val="edge"/>
          <c:x val="0.18133736223905716"/>
          <c:y val="0.10024955835585396"/>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CD29CD"/>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rgbClr val="E587A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rgbClr val="762C4D"/>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radarChart>
        <c:radarStyle val="marker"/>
        <c:varyColors val="0"/>
        <c:ser>
          <c:idx val="0"/>
          <c:order val="0"/>
          <c:tx>
            <c:strRef>
              <c:f>Sheet2!$H$25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rgbClr val="E587A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8A0-4FFC-8388-8DB290FCBEF9}"/>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rgbClr val="762C4D"/>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8A0-4FFC-8388-8DB290FCBEF9}"/>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rgbClr val="CD29CD"/>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8A0-4FFC-8388-8DB290FCBEF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Sheet2!$G$26:$G$29</c:f>
              <c:strCache>
                <c:ptCount val="3"/>
                <c:pt idx="0">
                  <c:v>Locking Period</c:v>
                </c:pt>
                <c:pt idx="1">
                  <c:v>Returns</c:v>
                </c:pt>
                <c:pt idx="2">
                  <c:v>Risk</c:v>
                </c:pt>
              </c:strCache>
            </c:strRef>
          </c:cat>
          <c:val>
            <c:numRef>
              <c:f>Sheet2!$H$26:$H$29</c:f>
              <c:numCache>
                <c:formatCode>General</c:formatCode>
                <c:ptCount val="3"/>
                <c:pt idx="0">
                  <c:v>1</c:v>
                </c:pt>
                <c:pt idx="1">
                  <c:v>4</c:v>
                </c:pt>
                <c:pt idx="2">
                  <c:v>2</c:v>
                </c:pt>
              </c:numCache>
            </c:numRef>
          </c:val>
          <c:extLst>
            <c:ext xmlns:c16="http://schemas.microsoft.com/office/drawing/2014/chart" uri="{C3380CC4-5D6E-409C-BE32-E72D297353CC}">
              <c16:uniqueId val="{00000000-28A0-4FFC-8388-8DB290FCBEF9}"/>
            </c:ext>
          </c:extLst>
        </c:ser>
        <c:dLbls>
          <c:showLegendKey val="0"/>
          <c:showVal val="1"/>
          <c:showCatName val="0"/>
          <c:showSerName val="0"/>
          <c:showPercent val="0"/>
          <c:showBubbleSize val="0"/>
        </c:dLbls>
        <c:axId val="824154056"/>
        <c:axId val="824154408"/>
      </c:radarChart>
      <c:catAx>
        <c:axId val="824154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24154408"/>
        <c:crosses val="autoZero"/>
        <c:auto val="1"/>
        <c:lblAlgn val="ctr"/>
        <c:lblOffset val="100"/>
        <c:noMultiLvlLbl val="0"/>
      </c:catAx>
      <c:valAx>
        <c:axId val="824154408"/>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824154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[Task6.xlsx]Sheet2!PivotTable15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62C4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4"/>
        <c:spPr>
          <a:solidFill>
            <a:srgbClr val="CD29C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5"/>
        <c:spPr>
          <a:solidFill>
            <a:srgbClr val="7030A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6"/>
        <c:spPr>
          <a:solidFill>
            <a:srgbClr val="E587A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Sheet2!$K$17</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spPr>
              <a:solidFill>
                <a:srgbClr val="762C4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1-A8DF-4629-90E5-A797ACF9E97C}"/>
              </c:ext>
            </c:extLst>
          </c:dPt>
          <c:dPt>
            <c:idx val="1"/>
            <c:invertIfNegative val="0"/>
            <c:bubble3D val="0"/>
            <c:spPr>
              <a:solidFill>
                <a:srgbClr val="CD29C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2-A8DF-4629-90E5-A797ACF9E97C}"/>
              </c:ext>
            </c:extLst>
          </c:dPt>
          <c:dPt>
            <c:idx val="2"/>
            <c:invertIfNegative val="0"/>
            <c:bubble3D val="0"/>
            <c:spPr>
              <a:solidFill>
                <a:srgbClr val="7030A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3-A8DF-4629-90E5-A797ACF9E97C}"/>
              </c:ext>
            </c:extLst>
          </c:dPt>
          <c:dPt>
            <c:idx val="3"/>
            <c:invertIfNegative val="0"/>
            <c:bubble3D val="0"/>
            <c:spPr>
              <a:solidFill>
                <a:srgbClr val="E587A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4-A8DF-4629-90E5-A797ACF9E97C}"/>
              </c:ext>
            </c:extLst>
          </c:dPt>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Sheet2!$J$18:$J$22</c:f>
              <c:strCache>
                <c:ptCount val="4"/>
                <c:pt idx="0">
                  <c:v>1-3 years</c:v>
                </c:pt>
                <c:pt idx="1">
                  <c:v>3-5 years</c:v>
                </c:pt>
                <c:pt idx="2">
                  <c:v>Less than 1 year</c:v>
                </c:pt>
                <c:pt idx="3">
                  <c:v>More than 5 years</c:v>
                </c:pt>
              </c:strCache>
            </c:strRef>
          </c:cat>
          <c:val>
            <c:numRef>
              <c:f>Sheet2!$K$18:$K$22</c:f>
              <c:numCache>
                <c:formatCode>General</c:formatCode>
                <c:ptCount val="4"/>
                <c:pt idx="0">
                  <c:v>18</c:v>
                </c:pt>
                <c:pt idx="1">
                  <c:v>19</c:v>
                </c:pt>
                <c:pt idx="2">
                  <c:v>2</c:v>
                </c:pt>
                <c:pt idx="3">
                  <c:v>1</c:v>
                </c:pt>
              </c:numCache>
            </c:numRef>
          </c:val>
          <c:extLst>
            <c:ext xmlns:c16="http://schemas.microsoft.com/office/drawing/2014/chart" uri="{C3380CC4-5D6E-409C-BE32-E72D297353CC}">
              <c16:uniqueId val="{00000000-A8DF-4629-90E5-A797ACF9E97C}"/>
            </c:ext>
          </c:extLst>
        </c:ser>
        <c:dLbls>
          <c:showLegendKey val="0"/>
          <c:showVal val="1"/>
          <c:showCatName val="0"/>
          <c:showSerName val="0"/>
          <c:showPercent val="0"/>
          <c:showBubbleSize val="0"/>
        </c:dLbls>
        <c:gapWidth val="75"/>
        <c:shape val="box"/>
        <c:axId val="827608008"/>
        <c:axId val="827606600"/>
        <c:axId val="0"/>
      </c:bar3DChart>
      <c:catAx>
        <c:axId val="827608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27606600"/>
        <c:crosses val="autoZero"/>
        <c:auto val="1"/>
        <c:lblAlgn val="ctr"/>
        <c:lblOffset val="100"/>
        <c:noMultiLvlLbl val="0"/>
      </c:catAx>
      <c:valAx>
        <c:axId val="827606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827608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[Task6.xlsx]Sheet2!PivotTable11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60033"/>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Sheet2!$H$33</c:f>
              <c:strCache>
                <c:ptCount val="1"/>
                <c:pt idx="0">
                  <c:v>Sum of Gold</c:v>
                </c:pt>
              </c:strCache>
            </c:strRef>
          </c:tx>
          <c:spPr>
            <a:solidFill>
              <a:srgbClr val="660066"/>
            </a:solidFill>
            <a:ln>
              <a:noFill/>
            </a:ln>
            <a:effectLst>
              <a:outerShdw blurRad="57150" dist="19050" dir="5400000" algn="ctr" rotWithShape="0">
                <a:srgbClr val="000000">
                  <a:alpha val="63000"/>
                </a:srgbClr>
              </a:outerShdw>
            </a:effectLst>
          </c:spPr>
          <c:cat>
            <c:multiLvlStrRef>
              <c:f>Sheet2!$G$34:$G$39</c:f>
              <c:multiLvlStrCache>
                <c:ptCount val="3"/>
                <c:lvl>
                  <c:pt idx="0">
                    <c:v>Monthly</c:v>
                  </c:pt>
                  <c:pt idx="1">
                    <c:v>Monthly</c:v>
                  </c:pt>
                  <c:pt idx="2">
                    <c:v>Weekly</c:v>
                  </c:pt>
                </c:lvl>
                <c:lvl>
                  <c:pt idx="0">
                    <c:v>6</c:v>
                  </c:pt>
                  <c:pt idx="1">
                    <c:v>7</c:v>
                  </c:pt>
                </c:lvl>
              </c:multiLvlStrCache>
            </c:multiLvlStrRef>
          </c:cat>
          <c:val>
            <c:numRef>
              <c:f>Sheet2!$H$34:$H$39</c:f>
              <c:numCache>
                <c:formatCode>General</c:formatCode>
                <c:ptCount val="3"/>
                <c:pt idx="0">
                  <c:v>6</c:v>
                </c:pt>
                <c:pt idx="1">
                  <c:v>7</c:v>
                </c:pt>
                <c:pt idx="2">
                  <c:v>7</c:v>
                </c:pt>
              </c:numCache>
            </c:numRef>
          </c:val>
          <c:extLst>
            <c:ext xmlns:c16="http://schemas.microsoft.com/office/drawing/2014/chart" uri="{C3380CC4-5D6E-409C-BE32-E72D297353CC}">
              <c16:uniqueId val="{00000000-7DB6-42A8-ABCF-2BB6DED90F0E}"/>
            </c:ext>
          </c:extLst>
        </c:ser>
        <c:ser>
          <c:idx val="1"/>
          <c:order val="1"/>
          <c:tx>
            <c:strRef>
              <c:f>Sheet2!$I$33</c:f>
              <c:strCache>
                <c:ptCount val="1"/>
                <c:pt idx="0">
                  <c:v>Count of Invest_Monitor</c:v>
                </c:pt>
              </c:strCache>
            </c:strRef>
          </c:tx>
          <c:spPr>
            <a:solidFill>
              <a:srgbClr val="660033"/>
            </a:solidFill>
            <a:ln w="25400">
              <a:noFill/>
            </a:ln>
            <a:effectLst>
              <a:outerShdw blurRad="57150" dist="19050" dir="5400000" algn="ctr" rotWithShape="0">
                <a:srgbClr val="000000">
                  <a:alpha val="63000"/>
                </a:srgbClr>
              </a:outerShdw>
            </a:effectLst>
          </c:spPr>
          <c:cat>
            <c:multiLvlStrRef>
              <c:f>Sheet2!$G$34:$G$39</c:f>
              <c:multiLvlStrCache>
                <c:ptCount val="3"/>
                <c:lvl>
                  <c:pt idx="0">
                    <c:v>Monthly</c:v>
                  </c:pt>
                  <c:pt idx="1">
                    <c:v>Monthly</c:v>
                  </c:pt>
                  <c:pt idx="2">
                    <c:v>Weekly</c:v>
                  </c:pt>
                </c:lvl>
                <c:lvl>
                  <c:pt idx="0">
                    <c:v>6</c:v>
                  </c:pt>
                  <c:pt idx="1">
                    <c:v>7</c:v>
                  </c:pt>
                </c:lvl>
              </c:multiLvlStrCache>
            </c:multiLvlStrRef>
          </c:cat>
          <c:val>
            <c:numRef>
              <c:f>Sheet2!$I$34:$I$39</c:f>
              <c:numCache>
                <c:formatCode>General</c:formatCode>
                <c:ptCount val="3"/>
                <c:pt idx="0">
                  <c:v>1</c:v>
                </c:pt>
                <c:pt idx="1">
                  <c:v>1</c:v>
                </c:pt>
                <c:pt idx="2">
                  <c:v>1</c:v>
                </c:pt>
              </c:numCache>
            </c:numRef>
          </c:val>
          <c:extLst>
            <c:ext xmlns:c16="http://schemas.microsoft.com/office/drawing/2014/chart" uri="{C3380CC4-5D6E-409C-BE32-E72D297353CC}">
              <c16:uniqueId val="{00000001-7DB6-42A8-ABCF-2BB6DED90F0E}"/>
            </c:ext>
          </c:extLst>
        </c:ser>
        <c:dLbls>
          <c:showLegendKey val="0"/>
          <c:showVal val="0"/>
          <c:showCatName val="0"/>
          <c:showSerName val="0"/>
          <c:showPercent val="0"/>
          <c:showBubbleSize val="0"/>
        </c:dLbls>
        <c:axId val="836997384"/>
        <c:axId val="836999144"/>
      </c:areaChart>
      <c:catAx>
        <c:axId val="8369973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999144"/>
        <c:crosses val="autoZero"/>
        <c:auto val="1"/>
        <c:lblAlgn val="ctr"/>
        <c:lblOffset val="100"/>
        <c:noMultiLvlLbl val="0"/>
      </c:catAx>
      <c:valAx>
        <c:axId val="836999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836997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179296</xdr:colOff>
      <xdr:row>0</xdr:row>
      <xdr:rowOff>145677</xdr:rowOff>
    </xdr:from>
    <xdr:to>
      <xdr:col>29</xdr:col>
      <xdr:colOff>459442</xdr:colOff>
      <xdr:row>82</xdr:row>
      <xdr:rowOff>44824</xdr:rowOff>
    </xdr:to>
    <xdr:sp macro="" textlink="">
      <xdr:nvSpPr>
        <xdr:cNvPr id="6" name="Rectangle 5">
          <a:extLst>
            <a:ext uri="{FF2B5EF4-FFF2-40B4-BE49-F238E27FC236}">
              <a16:creationId xmlns:a16="http://schemas.microsoft.com/office/drawing/2014/main" id="{7747FFFA-69EC-44ED-B676-EE73115DAA5C}"/>
            </a:ext>
          </a:extLst>
        </xdr:cNvPr>
        <xdr:cNvSpPr/>
      </xdr:nvSpPr>
      <xdr:spPr>
        <a:xfrm>
          <a:off x="179296" y="145677"/>
          <a:ext cx="17774396" cy="16377397"/>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315290</xdr:colOff>
      <xdr:row>5</xdr:row>
      <xdr:rowOff>138165</xdr:rowOff>
    </xdr:from>
    <xdr:to>
      <xdr:col>3</xdr:col>
      <xdr:colOff>326497</xdr:colOff>
      <xdr:row>14</xdr:row>
      <xdr:rowOff>130735</xdr:rowOff>
    </xdr:to>
    <mc:AlternateContent xmlns:mc="http://schemas.openxmlformats.org/markup-compatibility/2006" xmlns:sle15="http://schemas.microsoft.com/office/drawing/2012/slicer">
      <mc:Choice Requires="sle15">
        <xdr:graphicFrame macro="">
          <xdr:nvGraphicFramePr>
            <xdr:cNvPr id="4" name="Gender Category">
              <a:extLst>
                <a:ext uri="{FF2B5EF4-FFF2-40B4-BE49-F238E27FC236}">
                  <a16:creationId xmlns:a16="http://schemas.microsoft.com/office/drawing/2014/main" id="{E805F181-AB24-4A85-90E8-77762D14289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Category"/>
            </a:graphicData>
          </a:graphic>
        </xdr:graphicFrame>
      </mc:Choice>
      <mc:Fallback xmlns="">
        <xdr:sp macro="" textlink="">
          <xdr:nvSpPr>
            <xdr:cNvPr id="0" name=""/>
            <xdr:cNvSpPr>
              <a:spLocks noTextEdit="1"/>
            </xdr:cNvSpPr>
          </xdr:nvSpPr>
          <xdr:spPr>
            <a:xfrm>
              <a:off x="315290" y="1725665"/>
              <a:ext cx="1820957" cy="19293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360122</xdr:colOff>
      <xdr:row>47</xdr:row>
      <xdr:rowOff>5266</xdr:rowOff>
    </xdr:from>
    <xdr:to>
      <xdr:col>3</xdr:col>
      <xdr:colOff>317339</xdr:colOff>
      <xdr:row>60</xdr:row>
      <xdr:rowOff>130734</xdr:rowOff>
    </xdr:to>
    <mc:AlternateContent xmlns:mc="http://schemas.openxmlformats.org/markup-compatibility/2006" xmlns:a14="http://schemas.microsoft.com/office/drawing/2010/main">
      <mc:Choice Requires="a14">
        <xdr:graphicFrame macro="">
          <xdr:nvGraphicFramePr>
            <xdr:cNvPr id="10" name="Investment_Avenues">
              <a:extLst>
                <a:ext uri="{FF2B5EF4-FFF2-40B4-BE49-F238E27FC236}">
                  <a16:creationId xmlns:a16="http://schemas.microsoft.com/office/drawing/2014/main" id="{9E3A5737-F2F6-4A07-8005-96934626D6E0}"/>
                </a:ext>
              </a:extLst>
            </xdr:cNvPr>
            <xdr:cNvGraphicFramePr/>
          </xdr:nvGraphicFramePr>
          <xdr:xfrm>
            <a:off x="0" y="0"/>
            <a:ext cx="0" cy="0"/>
          </xdr:xfrm>
          <a:graphic>
            <a:graphicData uri="http://schemas.microsoft.com/office/drawing/2010/slicer">
              <sle:slicer xmlns:sle="http://schemas.microsoft.com/office/drawing/2010/slicer" name="Investment_Avenues"/>
            </a:graphicData>
          </a:graphic>
        </xdr:graphicFrame>
      </mc:Choice>
      <mc:Fallback xmlns="">
        <xdr:sp macro="" textlink="">
          <xdr:nvSpPr>
            <xdr:cNvPr id="0" name=""/>
            <xdr:cNvSpPr>
              <a:spLocks noTextEdit="1"/>
            </xdr:cNvSpPr>
          </xdr:nvSpPr>
          <xdr:spPr>
            <a:xfrm>
              <a:off x="360122" y="9816016"/>
              <a:ext cx="1766967" cy="2601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212911</xdr:colOff>
      <xdr:row>1</xdr:row>
      <xdr:rowOff>80308</xdr:rowOff>
    </xdr:from>
    <xdr:to>
      <xdr:col>24</xdr:col>
      <xdr:colOff>349250</xdr:colOff>
      <xdr:row>4</xdr:row>
      <xdr:rowOff>349250</xdr:rowOff>
    </xdr:to>
    <xdr:sp macro="" textlink="">
      <xdr:nvSpPr>
        <xdr:cNvPr id="7" name="TextBox 6">
          <a:extLst>
            <a:ext uri="{FF2B5EF4-FFF2-40B4-BE49-F238E27FC236}">
              <a16:creationId xmlns:a16="http://schemas.microsoft.com/office/drawing/2014/main" id="{DB4DAED5-4ADE-82B4-5079-603984EEC403}"/>
            </a:ext>
          </a:extLst>
        </xdr:cNvPr>
        <xdr:cNvSpPr txBox="1"/>
      </xdr:nvSpPr>
      <xdr:spPr>
        <a:xfrm>
          <a:off x="1419411" y="270808"/>
          <a:ext cx="13407839" cy="125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effectLst/>
              <a:latin typeface="+mn-lt"/>
              <a:ea typeface="+mn-ea"/>
              <a:cs typeface="+mn-cs"/>
            </a:rPr>
            <a:t>INVESTMENT PREFERENES AND BEHAVIOR ANALYSIS </a:t>
          </a:r>
          <a:endParaRPr lang="en-US" sz="3200">
            <a:solidFill>
              <a:schemeClr val="bg1"/>
            </a:solidFill>
          </a:endParaRPr>
        </a:p>
      </xdr:txBody>
    </xdr:sp>
    <xdr:clientData/>
  </xdr:twoCellAnchor>
  <xdr:twoCellAnchor editAs="oneCell">
    <xdr:from>
      <xdr:col>0</xdr:col>
      <xdr:colOff>336178</xdr:colOff>
      <xdr:row>64</xdr:row>
      <xdr:rowOff>113553</xdr:rowOff>
    </xdr:from>
    <xdr:to>
      <xdr:col>3</xdr:col>
      <xdr:colOff>317500</xdr:colOff>
      <xdr:row>75</xdr:row>
      <xdr:rowOff>18676</xdr:rowOff>
    </xdr:to>
    <mc:AlternateContent xmlns:mc="http://schemas.openxmlformats.org/markup-compatibility/2006" xmlns:a14="http://schemas.microsoft.com/office/drawing/2010/main">
      <mc:Choice Requires="a14">
        <xdr:graphicFrame macro="">
          <xdr:nvGraphicFramePr>
            <xdr:cNvPr id="9" name="Source">
              <a:extLst>
                <a:ext uri="{FF2B5EF4-FFF2-40B4-BE49-F238E27FC236}">
                  <a16:creationId xmlns:a16="http://schemas.microsoft.com/office/drawing/2014/main" id="{CB667056-2457-4546-BA2C-E909D8985733}"/>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336178" y="13162803"/>
              <a:ext cx="1791072" cy="2000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322110</xdr:colOff>
      <xdr:row>16</xdr:row>
      <xdr:rowOff>142257</xdr:rowOff>
    </xdr:from>
    <xdr:to>
      <xdr:col>3</xdr:col>
      <xdr:colOff>322110</xdr:colOff>
      <xdr:row>30</xdr:row>
      <xdr:rowOff>37353</xdr:rowOff>
    </xdr:to>
    <mc:AlternateContent xmlns:mc="http://schemas.openxmlformats.org/markup-compatibility/2006" xmlns:a14="http://schemas.microsoft.com/office/drawing/2010/main">
      <mc:Choice Requires="a14">
        <xdr:graphicFrame macro="">
          <xdr:nvGraphicFramePr>
            <xdr:cNvPr id="11" name=" savings objectives">
              <a:extLst>
                <a:ext uri="{FF2B5EF4-FFF2-40B4-BE49-F238E27FC236}">
                  <a16:creationId xmlns:a16="http://schemas.microsoft.com/office/drawing/2014/main" id="{E039BC6C-ED2E-4D01-B2B6-90EBB579A30C}"/>
                </a:ext>
              </a:extLst>
            </xdr:cNvPr>
            <xdr:cNvGraphicFramePr/>
          </xdr:nvGraphicFramePr>
          <xdr:xfrm>
            <a:off x="0" y="0"/>
            <a:ext cx="0" cy="0"/>
          </xdr:xfrm>
          <a:graphic>
            <a:graphicData uri="http://schemas.microsoft.com/office/drawing/2010/slicer">
              <sle:slicer xmlns:sle="http://schemas.microsoft.com/office/drawing/2010/slicer" name=" savings objectives"/>
            </a:graphicData>
          </a:graphic>
        </xdr:graphicFrame>
      </mc:Choice>
      <mc:Fallback xmlns="">
        <xdr:sp macro="" textlink="">
          <xdr:nvSpPr>
            <xdr:cNvPr id="0" name=""/>
            <xdr:cNvSpPr>
              <a:spLocks noTextEdit="1"/>
            </xdr:cNvSpPr>
          </xdr:nvSpPr>
          <xdr:spPr>
            <a:xfrm>
              <a:off x="322110" y="4047507"/>
              <a:ext cx="1809750" cy="2562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292198</xdr:colOff>
      <xdr:row>32</xdr:row>
      <xdr:rowOff>97450</xdr:rowOff>
    </xdr:from>
    <xdr:to>
      <xdr:col>3</xdr:col>
      <xdr:colOff>251448</xdr:colOff>
      <xdr:row>43</xdr:row>
      <xdr:rowOff>130735</xdr:rowOff>
    </xdr:to>
    <mc:AlternateContent xmlns:mc="http://schemas.openxmlformats.org/markup-compatibility/2006" xmlns:a14="http://schemas.microsoft.com/office/drawing/2010/main">
      <mc:Choice Requires="a14">
        <xdr:graphicFrame macro="">
          <xdr:nvGraphicFramePr>
            <xdr:cNvPr id="12" name="Invest_Monitor">
              <a:extLst>
                <a:ext uri="{FF2B5EF4-FFF2-40B4-BE49-F238E27FC236}">
                  <a16:creationId xmlns:a16="http://schemas.microsoft.com/office/drawing/2014/main" id="{4A493C60-8533-4DC9-8BBB-85B44FE3D653}"/>
                </a:ext>
              </a:extLst>
            </xdr:cNvPr>
            <xdr:cNvGraphicFramePr/>
          </xdr:nvGraphicFramePr>
          <xdr:xfrm>
            <a:off x="0" y="0"/>
            <a:ext cx="0" cy="0"/>
          </xdr:xfrm>
          <a:graphic>
            <a:graphicData uri="http://schemas.microsoft.com/office/drawing/2010/slicer">
              <sle:slicer xmlns:sle="http://schemas.microsoft.com/office/drawing/2010/slicer" name="Invest_Monitor"/>
            </a:graphicData>
          </a:graphic>
        </xdr:graphicFrame>
      </mc:Choice>
      <mc:Fallback xmlns="">
        <xdr:sp macro="" textlink="">
          <xdr:nvSpPr>
            <xdr:cNvPr id="0" name=""/>
            <xdr:cNvSpPr>
              <a:spLocks noTextEdit="1"/>
            </xdr:cNvSpPr>
          </xdr:nvSpPr>
          <xdr:spPr>
            <a:xfrm>
              <a:off x="292198" y="7050700"/>
              <a:ext cx="1769000" cy="2128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498288</xdr:colOff>
      <xdr:row>5</xdr:row>
      <xdr:rowOff>127000</xdr:rowOff>
    </xdr:from>
    <xdr:to>
      <xdr:col>29</xdr:col>
      <xdr:colOff>246529</xdr:colOff>
      <xdr:row>81</xdr:row>
      <xdr:rowOff>89646</xdr:rowOff>
    </xdr:to>
    <xdr:grpSp>
      <xdr:nvGrpSpPr>
        <xdr:cNvPr id="20" name="Group 19">
          <a:extLst>
            <a:ext uri="{FF2B5EF4-FFF2-40B4-BE49-F238E27FC236}">
              <a16:creationId xmlns:a16="http://schemas.microsoft.com/office/drawing/2014/main" id="{1B5DB78D-8624-24F2-B444-33CC11E69EA5}"/>
            </a:ext>
          </a:extLst>
        </xdr:cNvPr>
        <xdr:cNvGrpSpPr/>
      </xdr:nvGrpSpPr>
      <xdr:grpSpPr>
        <a:xfrm>
          <a:off x="2308038" y="1714500"/>
          <a:ext cx="15432741" cy="14662896"/>
          <a:chOff x="2308038" y="1714500"/>
          <a:chExt cx="15432741" cy="14662896"/>
        </a:xfrm>
      </xdr:grpSpPr>
      <xdr:graphicFrame macro="">
        <xdr:nvGraphicFramePr>
          <xdr:cNvPr id="8" name="Chart 7">
            <a:extLst>
              <a:ext uri="{FF2B5EF4-FFF2-40B4-BE49-F238E27FC236}">
                <a16:creationId xmlns:a16="http://schemas.microsoft.com/office/drawing/2014/main" id="{8416145A-B5BE-4BE2-92DC-1E7438510FCB}"/>
              </a:ext>
            </a:extLst>
          </xdr:cNvPr>
          <xdr:cNvGraphicFramePr>
            <a:graphicFrameLocks/>
          </xdr:cNvGraphicFramePr>
        </xdr:nvGraphicFramePr>
        <xdr:xfrm>
          <a:off x="2308038" y="1739152"/>
          <a:ext cx="4854389" cy="240142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4" name="Chart 13">
            <a:extLst>
              <a:ext uri="{FF2B5EF4-FFF2-40B4-BE49-F238E27FC236}">
                <a16:creationId xmlns:a16="http://schemas.microsoft.com/office/drawing/2014/main" id="{574C7DFD-F2CD-478A-8C17-717EB3648715}"/>
              </a:ext>
            </a:extLst>
          </xdr:cNvPr>
          <xdr:cNvGraphicFramePr>
            <a:graphicFrameLocks/>
          </xdr:cNvGraphicFramePr>
        </xdr:nvGraphicFramePr>
        <xdr:xfrm>
          <a:off x="2311612" y="11663721"/>
          <a:ext cx="9683538" cy="471367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5" name="Chart 14">
            <a:extLst>
              <a:ext uri="{FF2B5EF4-FFF2-40B4-BE49-F238E27FC236}">
                <a16:creationId xmlns:a16="http://schemas.microsoft.com/office/drawing/2014/main" id="{8C359C99-FEED-4002-AE5E-1CC5841E2D0B}"/>
              </a:ext>
            </a:extLst>
          </xdr:cNvPr>
          <xdr:cNvGraphicFramePr>
            <a:graphicFrameLocks/>
          </xdr:cNvGraphicFramePr>
        </xdr:nvGraphicFramePr>
        <xdr:xfrm>
          <a:off x="2314016" y="7681634"/>
          <a:ext cx="9681134" cy="38884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6" name="Chart 15">
            <a:extLst>
              <a:ext uri="{FF2B5EF4-FFF2-40B4-BE49-F238E27FC236}">
                <a16:creationId xmlns:a16="http://schemas.microsoft.com/office/drawing/2014/main" id="{4A969BF9-28E8-4A5B-8044-237CC45159CE}"/>
              </a:ext>
            </a:extLst>
          </xdr:cNvPr>
          <xdr:cNvGraphicFramePr>
            <a:graphicFrameLocks/>
          </xdr:cNvGraphicFramePr>
        </xdr:nvGraphicFramePr>
        <xdr:xfrm>
          <a:off x="12423587" y="1714500"/>
          <a:ext cx="5317192" cy="758077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7" name="Chart 16">
            <a:extLst>
              <a:ext uri="{FF2B5EF4-FFF2-40B4-BE49-F238E27FC236}">
                <a16:creationId xmlns:a16="http://schemas.microsoft.com/office/drawing/2014/main" id="{2EBB02C5-8116-41BA-BA9A-2EBB53F1B3C6}"/>
              </a:ext>
            </a:extLst>
          </xdr:cNvPr>
          <xdr:cNvGraphicFramePr>
            <a:graphicFrameLocks/>
          </xdr:cNvGraphicFramePr>
        </xdr:nvGraphicFramePr>
        <xdr:xfrm>
          <a:off x="7328647" y="1744382"/>
          <a:ext cx="4693397" cy="238498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8" name="Chart 17">
            <a:extLst>
              <a:ext uri="{FF2B5EF4-FFF2-40B4-BE49-F238E27FC236}">
                <a16:creationId xmlns:a16="http://schemas.microsoft.com/office/drawing/2014/main" id="{0416A007-C6AE-4DCE-9973-64D9131D5EA7}"/>
              </a:ext>
            </a:extLst>
          </xdr:cNvPr>
          <xdr:cNvGraphicFramePr>
            <a:graphicFrameLocks/>
          </xdr:cNvGraphicFramePr>
        </xdr:nvGraphicFramePr>
        <xdr:xfrm>
          <a:off x="2314014" y="4275048"/>
          <a:ext cx="4166722" cy="3316938"/>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9" name="Chart 18">
            <a:extLst>
              <a:ext uri="{FF2B5EF4-FFF2-40B4-BE49-F238E27FC236}">
                <a16:creationId xmlns:a16="http://schemas.microsoft.com/office/drawing/2014/main" id="{1603D795-5085-4876-A57B-D11147FCA4C5}"/>
              </a:ext>
            </a:extLst>
          </xdr:cNvPr>
          <xdr:cNvGraphicFramePr>
            <a:graphicFrameLocks/>
          </xdr:cNvGraphicFramePr>
        </xdr:nvGraphicFramePr>
        <xdr:xfrm>
          <a:off x="6581587" y="4286250"/>
          <a:ext cx="5440456" cy="331694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 name="Chart 12">
            <a:extLst>
              <a:ext uri="{FF2B5EF4-FFF2-40B4-BE49-F238E27FC236}">
                <a16:creationId xmlns:a16="http://schemas.microsoft.com/office/drawing/2014/main" id="{BB694E2F-C172-49C4-8104-BAF28009CF24}"/>
              </a:ext>
            </a:extLst>
          </xdr:cNvPr>
          <xdr:cNvGraphicFramePr>
            <a:graphicFrameLocks/>
          </xdr:cNvGraphicFramePr>
        </xdr:nvGraphicFramePr>
        <xdr:xfrm>
          <a:off x="12412384" y="9709896"/>
          <a:ext cx="5287307" cy="6652559"/>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editAs="oneCell">
    <xdr:from>
      <xdr:col>37</xdr:col>
      <xdr:colOff>0</xdr:colOff>
      <xdr:row>50</xdr:row>
      <xdr:rowOff>0</xdr:rowOff>
    </xdr:from>
    <xdr:to>
      <xdr:col>41</xdr:col>
      <xdr:colOff>0</xdr:colOff>
      <xdr:row>62</xdr:row>
      <xdr:rowOff>152400</xdr:rowOff>
    </xdr:to>
    <xdr:pic>
      <xdr:nvPicPr>
        <xdr:cNvPr id="2" name="Picture 1" descr="Flat Finance Icon - Flaticons.net">
          <a:extLst>
            <a:ext uri="{FF2B5EF4-FFF2-40B4-BE49-F238E27FC236}">
              <a16:creationId xmlns:a16="http://schemas.microsoft.com/office/drawing/2014/main" id="{950F46B4-422E-0866-3FDB-635AE472DE2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2555200" y="10344150"/>
          <a:ext cx="2438400" cy="243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045.69074189815" createdVersion="8" refreshedVersion="8" minRefreshableVersion="3" recordCount="40" xr:uid="{7B5F6F7A-EB73-47C2-B120-42857BDA489F}">
  <cacheSource type="worksheet">
    <worksheetSource name="Data_set_2__1"/>
  </cacheSource>
  <cacheFields count="24">
    <cacheField name="gender" numFmtId="0">
      <sharedItems count="2">
        <s v="Female"/>
        <s v="Male"/>
      </sharedItems>
    </cacheField>
    <cacheField name="age" numFmtId="0">
      <sharedItems containsSemiMixedTypes="0" containsString="0" containsNumber="1" containsInteger="1" minValue="21" maxValue="35"/>
    </cacheField>
    <cacheField name="Investment_Avenues" numFmtId="0">
      <sharedItems count="2">
        <s v="Yes"/>
        <s v="No"/>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ount="6">
        <n v="6"/>
        <n v="1"/>
        <n v="4"/>
        <n v="5"/>
        <n v="2"/>
        <n v="3"/>
      </sharedItems>
    </cacheField>
    <cacheField name="Gold" numFmtId="0">
      <sharedItems containsSemiMixedTypes="0" containsString="0" containsNumber="1" containsInteger="1" minValue="2" maxValue="7" count="6">
        <n v="4"/>
        <n v="7"/>
        <n v="5"/>
        <n v="2"/>
        <n v="6"/>
        <n v="3"/>
      </sharedItems>
    </cacheField>
    <cacheField name="Stock_Marktet" numFmtId="0">
      <sharedItems count="2">
        <s v="Yes"/>
        <s v="No"/>
      </sharedItems>
    </cacheField>
    <cacheField name="Factor" numFmtId="0">
      <sharedItems count="3">
        <s v="Returns"/>
        <s v="Locking Period"/>
        <s v="Risk"/>
      </sharedItems>
    </cacheField>
    <cacheField name="Objective" numFmtId="0">
      <sharedItems count="3">
        <s v="Capital Appreciation"/>
        <s v="Income"/>
        <s v="Growth"/>
      </sharedItems>
    </cacheField>
    <cacheField name="Purpose" numFmtId="0">
      <sharedItems/>
    </cacheField>
    <cacheField name="Duration" numFmtId="0">
      <sharedItems count="4">
        <s v="1-3 years"/>
        <s v="More than 5 years"/>
        <s v="3-5 years"/>
        <s v="Less than 1 year"/>
      </sharedItems>
    </cacheField>
    <cacheField name="Invest_Monitor" numFmtId="0">
      <sharedItems count="3">
        <s v="Monthly"/>
        <s v="Weekly"/>
        <s v="Daily"/>
      </sharedItems>
    </cacheField>
    <cacheField name="Expect" numFmtId="0">
      <sharedItems count="3">
        <s v="20%-30%"/>
        <s v="10%-20%"/>
        <s v="30%-40%"/>
      </sharedItems>
    </cacheField>
    <cacheField name="Avenue" numFmtId="0">
      <sharedItems/>
    </cacheField>
    <cacheField name="What are your savings objectives?" numFmtId="0">
      <sharedItems count="3">
        <s v="Retirement Plan"/>
        <s v="Health Care"/>
        <s v="Education"/>
      </sharedItems>
    </cacheField>
    <cacheField name="Reason_Equity" numFmtId="0">
      <sharedItems count="3">
        <s v="Capital Appreciation"/>
        <s v="Dividend"/>
        <s v="Liquidity"/>
      </sharedItems>
    </cacheField>
    <cacheField name="Reason_Mutual" numFmtId="0">
      <sharedItems count="3">
        <s v="Better Returns"/>
        <s v="Tax Benefits"/>
        <s v="Fund Diversification"/>
      </sharedItems>
    </cacheField>
    <cacheField name="Reason_Bonds" numFmtId="0">
      <sharedItems count="3">
        <s v="Safe Investment"/>
        <s v="Assured Returns"/>
        <s v="Tax Incentives"/>
      </sharedItems>
    </cacheField>
    <cacheField name="Reason_FD" numFmtId="0">
      <sharedItems count="3">
        <s v="Fixed Returns"/>
        <s v="High Interest Rates"/>
        <s v="Risk Free"/>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1179500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x v="0"/>
    <n v="1"/>
    <n v="2"/>
    <n v="5"/>
    <n v="3"/>
    <n v="7"/>
    <x v="0"/>
    <x v="0"/>
    <x v="0"/>
    <x v="0"/>
    <x v="0"/>
    <s v="Wealth Creation"/>
    <x v="0"/>
    <x v="0"/>
    <x v="0"/>
    <s v="Mutual Fund"/>
    <x v="0"/>
    <x v="0"/>
    <x v="0"/>
    <x v="0"/>
    <x v="0"/>
    <x v="0"/>
  </r>
  <r>
    <x v="0"/>
    <n v="23"/>
    <x v="0"/>
    <n v="4"/>
    <n v="3"/>
    <n v="2"/>
    <n v="1"/>
    <n v="5"/>
    <x v="0"/>
    <x v="1"/>
    <x v="1"/>
    <x v="1"/>
    <x v="0"/>
    <s v="Wealth Creation"/>
    <x v="1"/>
    <x v="1"/>
    <x v="0"/>
    <s v="Mutual Fund"/>
    <x v="1"/>
    <x v="1"/>
    <x v="0"/>
    <x v="0"/>
    <x v="1"/>
    <x v="1"/>
  </r>
  <r>
    <x v="1"/>
    <n v="30"/>
    <x v="0"/>
    <n v="3"/>
    <n v="6"/>
    <n v="4"/>
    <n v="2"/>
    <n v="5"/>
    <x v="1"/>
    <x v="1"/>
    <x v="0"/>
    <x v="0"/>
    <x v="0"/>
    <s v="Wealth Creation"/>
    <x v="2"/>
    <x v="2"/>
    <x v="0"/>
    <s v="Equity"/>
    <x v="0"/>
    <x v="0"/>
    <x v="1"/>
    <x v="1"/>
    <x v="0"/>
    <x v="2"/>
  </r>
  <r>
    <x v="1"/>
    <n v="22"/>
    <x v="0"/>
    <n v="2"/>
    <n v="1"/>
    <n v="3"/>
    <n v="7"/>
    <n v="6"/>
    <x v="2"/>
    <x v="2"/>
    <x v="0"/>
    <x v="0"/>
    <x v="1"/>
    <s v="Wealth Creation"/>
    <x v="3"/>
    <x v="2"/>
    <x v="1"/>
    <s v="Equity"/>
    <x v="0"/>
    <x v="1"/>
    <x v="2"/>
    <x v="2"/>
    <x v="1"/>
    <x v="3"/>
  </r>
  <r>
    <x v="0"/>
    <n v="24"/>
    <x v="1"/>
    <n v="2"/>
    <n v="1"/>
    <n v="3"/>
    <n v="6"/>
    <n v="4"/>
    <x v="3"/>
    <x v="1"/>
    <x v="1"/>
    <x v="0"/>
    <x v="1"/>
    <s v="Wealth Creation"/>
    <x v="3"/>
    <x v="2"/>
    <x v="0"/>
    <s v="Equity"/>
    <x v="0"/>
    <x v="0"/>
    <x v="0"/>
    <x v="0"/>
    <x v="2"/>
    <x v="3"/>
  </r>
  <r>
    <x v="0"/>
    <n v="24"/>
    <x v="1"/>
    <n v="7"/>
    <n v="5"/>
    <n v="4"/>
    <n v="6"/>
    <n v="3"/>
    <x v="1"/>
    <x v="3"/>
    <x v="1"/>
    <x v="2"/>
    <x v="0"/>
    <s v="Wealth Creation"/>
    <x v="0"/>
    <x v="2"/>
    <x v="2"/>
    <s v="Mutual Fund"/>
    <x v="0"/>
    <x v="2"/>
    <x v="2"/>
    <x v="0"/>
    <x v="2"/>
    <x v="3"/>
  </r>
  <r>
    <x v="0"/>
    <n v="27"/>
    <x v="0"/>
    <n v="3"/>
    <n v="6"/>
    <n v="4"/>
    <n v="2"/>
    <n v="5"/>
    <x v="1"/>
    <x v="1"/>
    <x v="0"/>
    <x v="0"/>
    <x v="0"/>
    <s v="Wealth Creation"/>
    <x v="2"/>
    <x v="0"/>
    <x v="0"/>
    <s v="Equity"/>
    <x v="0"/>
    <x v="0"/>
    <x v="0"/>
    <x v="1"/>
    <x v="1"/>
    <x v="1"/>
  </r>
  <r>
    <x v="1"/>
    <n v="21"/>
    <x v="0"/>
    <n v="2"/>
    <n v="3"/>
    <n v="7"/>
    <n v="4"/>
    <n v="6"/>
    <x v="1"/>
    <x v="2"/>
    <x v="0"/>
    <x v="2"/>
    <x v="0"/>
    <s v="Wealth Creation"/>
    <x v="2"/>
    <x v="0"/>
    <x v="0"/>
    <s v="Mutual Fund"/>
    <x v="0"/>
    <x v="0"/>
    <x v="0"/>
    <x v="1"/>
    <x v="2"/>
    <x v="0"/>
  </r>
  <r>
    <x v="1"/>
    <n v="35"/>
    <x v="0"/>
    <n v="2"/>
    <n v="4"/>
    <n v="7"/>
    <n v="5"/>
    <n v="3"/>
    <x v="1"/>
    <x v="4"/>
    <x v="0"/>
    <x v="0"/>
    <x v="2"/>
    <s v="Savings for Future"/>
    <x v="0"/>
    <x v="1"/>
    <x v="0"/>
    <s v="Equity"/>
    <x v="0"/>
    <x v="0"/>
    <x v="2"/>
    <x v="0"/>
    <x v="0"/>
    <x v="2"/>
  </r>
  <r>
    <x v="1"/>
    <n v="31"/>
    <x v="0"/>
    <n v="1"/>
    <n v="3"/>
    <n v="7"/>
    <n v="4"/>
    <n v="5"/>
    <x v="4"/>
    <x v="4"/>
    <x v="0"/>
    <x v="0"/>
    <x v="0"/>
    <s v="Wealth Creation"/>
    <x v="2"/>
    <x v="0"/>
    <x v="2"/>
    <s v="Fixed Deposits"/>
    <x v="0"/>
    <x v="0"/>
    <x v="2"/>
    <x v="1"/>
    <x v="0"/>
    <x v="0"/>
  </r>
  <r>
    <x v="0"/>
    <n v="35"/>
    <x v="0"/>
    <n v="2"/>
    <n v="4"/>
    <n v="7"/>
    <n v="5"/>
    <n v="3"/>
    <x v="1"/>
    <x v="4"/>
    <x v="0"/>
    <x v="2"/>
    <x v="2"/>
    <s v="Savings for Future"/>
    <x v="2"/>
    <x v="0"/>
    <x v="0"/>
    <s v="Mutual Fund"/>
    <x v="0"/>
    <x v="0"/>
    <x v="0"/>
    <x v="1"/>
    <x v="2"/>
    <x v="1"/>
  </r>
  <r>
    <x v="1"/>
    <n v="29"/>
    <x v="0"/>
    <n v="2"/>
    <n v="5"/>
    <n v="7"/>
    <n v="6"/>
    <n v="3"/>
    <x v="1"/>
    <x v="0"/>
    <x v="0"/>
    <x v="2"/>
    <x v="0"/>
    <s v="Wealth Creation"/>
    <x v="0"/>
    <x v="0"/>
    <x v="0"/>
    <s v="Mutual Fund"/>
    <x v="0"/>
    <x v="0"/>
    <x v="2"/>
    <x v="1"/>
    <x v="0"/>
    <x v="1"/>
  </r>
  <r>
    <x v="0"/>
    <n v="21"/>
    <x v="1"/>
    <n v="1"/>
    <n v="2"/>
    <n v="3"/>
    <n v="4"/>
    <n v="5"/>
    <x v="0"/>
    <x v="1"/>
    <x v="1"/>
    <x v="0"/>
    <x v="0"/>
    <s v="Savings for Future"/>
    <x v="0"/>
    <x v="1"/>
    <x v="0"/>
    <s v="Mutual Fund"/>
    <x v="2"/>
    <x v="1"/>
    <x v="0"/>
    <x v="0"/>
    <x v="2"/>
    <x v="3"/>
  </r>
  <r>
    <x v="0"/>
    <n v="28"/>
    <x v="0"/>
    <n v="2"/>
    <n v="3"/>
    <n v="7"/>
    <n v="4"/>
    <n v="5"/>
    <x v="1"/>
    <x v="4"/>
    <x v="0"/>
    <x v="0"/>
    <x v="0"/>
    <s v="Wealth Creation"/>
    <x v="0"/>
    <x v="0"/>
    <x v="0"/>
    <s v="Mutual Fund"/>
    <x v="0"/>
    <x v="0"/>
    <x v="2"/>
    <x v="1"/>
    <x v="2"/>
    <x v="0"/>
  </r>
  <r>
    <x v="0"/>
    <n v="25"/>
    <x v="0"/>
    <n v="2"/>
    <n v="3"/>
    <n v="7"/>
    <n v="5"/>
    <n v="4"/>
    <x v="1"/>
    <x v="4"/>
    <x v="0"/>
    <x v="0"/>
    <x v="0"/>
    <s v="Wealth Creation"/>
    <x v="0"/>
    <x v="0"/>
    <x v="0"/>
    <s v="Fixed Deposits"/>
    <x v="1"/>
    <x v="1"/>
    <x v="0"/>
    <x v="1"/>
    <x v="2"/>
    <x v="1"/>
  </r>
  <r>
    <x v="1"/>
    <n v="27"/>
    <x v="0"/>
    <n v="2"/>
    <n v="3"/>
    <n v="7"/>
    <n v="5"/>
    <n v="4"/>
    <x v="1"/>
    <x v="4"/>
    <x v="0"/>
    <x v="0"/>
    <x v="0"/>
    <s v="Wealth Creation"/>
    <x v="0"/>
    <x v="0"/>
    <x v="0"/>
    <s v="Mutual Fund"/>
    <x v="1"/>
    <x v="0"/>
    <x v="2"/>
    <x v="1"/>
    <x v="2"/>
    <x v="0"/>
  </r>
  <r>
    <x v="0"/>
    <n v="28"/>
    <x v="0"/>
    <n v="3"/>
    <n v="2"/>
    <n v="7"/>
    <n v="5"/>
    <n v="4"/>
    <x v="1"/>
    <x v="4"/>
    <x v="0"/>
    <x v="2"/>
    <x v="2"/>
    <s v="Wealth Creation"/>
    <x v="0"/>
    <x v="0"/>
    <x v="0"/>
    <s v="Fixed Deposits"/>
    <x v="1"/>
    <x v="0"/>
    <x v="2"/>
    <x v="1"/>
    <x v="2"/>
    <x v="2"/>
  </r>
  <r>
    <x v="1"/>
    <n v="27"/>
    <x v="0"/>
    <n v="3"/>
    <n v="2"/>
    <n v="7"/>
    <n v="4"/>
    <n v="5"/>
    <x v="1"/>
    <x v="4"/>
    <x v="0"/>
    <x v="0"/>
    <x v="0"/>
    <s v="Wealth Creation"/>
    <x v="0"/>
    <x v="0"/>
    <x v="0"/>
    <s v="Mutual Fund"/>
    <x v="0"/>
    <x v="0"/>
    <x v="0"/>
    <x v="1"/>
    <x v="2"/>
    <x v="1"/>
  </r>
  <r>
    <x v="1"/>
    <n v="29"/>
    <x v="0"/>
    <n v="3"/>
    <n v="2"/>
    <n v="7"/>
    <n v="4"/>
    <n v="5"/>
    <x v="1"/>
    <x v="4"/>
    <x v="0"/>
    <x v="2"/>
    <x v="0"/>
    <s v="Wealth Creation"/>
    <x v="0"/>
    <x v="0"/>
    <x v="0"/>
    <s v="Mutual Fund"/>
    <x v="0"/>
    <x v="0"/>
    <x v="0"/>
    <x v="1"/>
    <x v="2"/>
    <x v="0"/>
  </r>
  <r>
    <x v="1"/>
    <n v="26"/>
    <x v="0"/>
    <n v="3"/>
    <n v="4"/>
    <n v="6"/>
    <n v="5"/>
    <n v="1"/>
    <x v="4"/>
    <x v="1"/>
    <x v="0"/>
    <x v="2"/>
    <x v="0"/>
    <s v="Wealth Creation"/>
    <x v="2"/>
    <x v="0"/>
    <x v="0"/>
    <s v="Fixed Deposits"/>
    <x v="1"/>
    <x v="0"/>
    <x v="2"/>
    <x v="1"/>
    <x v="2"/>
    <x v="0"/>
  </r>
  <r>
    <x v="1"/>
    <n v="29"/>
    <x v="0"/>
    <n v="2"/>
    <n v="4"/>
    <n v="7"/>
    <n v="5"/>
    <n v="3"/>
    <x v="1"/>
    <x v="4"/>
    <x v="0"/>
    <x v="0"/>
    <x v="2"/>
    <s v="Wealth Creation"/>
    <x v="2"/>
    <x v="1"/>
    <x v="0"/>
    <s v="Mutual Fund"/>
    <x v="0"/>
    <x v="0"/>
    <x v="0"/>
    <x v="1"/>
    <x v="0"/>
    <x v="1"/>
  </r>
  <r>
    <x v="0"/>
    <n v="24"/>
    <x v="0"/>
    <n v="2"/>
    <n v="4"/>
    <n v="5"/>
    <n v="6"/>
    <n v="3"/>
    <x v="1"/>
    <x v="1"/>
    <x v="0"/>
    <x v="2"/>
    <x v="0"/>
    <s v="Wealth Creation"/>
    <x v="2"/>
    <x v="0"/>
    <x v="0"/>
    <s v="Equity"/>
    <x v="1"/>
    <x v="0"/>
    <x v="0"/>
    <x v="1"/>
    <x v="2"/>
    <x v="0"/>
  </r>
  <r>
    <x v="1"/>
    <n v="27"/>
    <x v="0"/>
    <n v="3"/>
    <n v="4"/>
    <n v="6"/>
    <n v="5"/>
    <n v="2"/>
    <x v="1"/>
    <x v="1"/>
    <x v="0"/>
    <x v="0"/>
    <x v="0"/>
    <s v="Wealth Creation"/>
    <x v="2"/>
    <x v="0"/>
    <x v="0"/>
    <s v="Mutual Fund"/>
    <x v="0"/>
    <x v="0"/>
    <x v="0"/>
    <x v="1"/>
    <x v="2"/>
    <x v="1"/>
  </r>
  <r>
    <x v="1"/>
    <n v="25"/>
    <x v="0"/>
    <n v="2"/>
    <n v="4"/>
    <n v="6"/>
    <n v="5"/>
    <n v="3"/>
    <x v="1"/>
    <x v="1"/>
    <x v="0"/>
    <x v="2"/>
    <x v="2"/>
    <s v="Savings for Future"/>
    <x v="2"/>
    <x v="1"/>
    <x v="0"/>
    <s v="Public Provident Fund"/>
    <x v="1"/>
    <x v="2"/>
    <x v="0"/>
    <x v="1"/>
    <x v="2"/>
    <x v="1"/>
  </r>
  <r>
    <x v="0"/>
    <n v="26"/>
    <x v="0"/>
    <n v="2"/>
    <n v="3"/>
    <n v="7"/>
    <n v="5"/>
    <n v="4"/>
    <x v="1"/>
    <x v="4"/>
    <x v="0"/>
    <x v="0"/>
    <x v="0"/>
    <s v="Wealth Creation"/>
    <x v="2"/>
    <x v="0"/>
    <x v="2"/>
    <s v="Public Provident Fund"/>
    <x v="0"/>
    <x v="0"/>
    <x v="0"/>
    <x v="1"/>
    <x v="2"/>
    <x v="0"/>
  </r>
  <r>
    <x v="0"/>
    <n v="32"/>
    <x v="0"/>
    <n v="3"/>
    <n v="4"/>
    <n v="7"/>
    <n v="5"/>
    <n v="1"/>
    <x v="4"/>
    <x v="4"/>
    <x v="0"/>
    <x v="2"/>
    <x v="2"/>
    <s v="Wealth Creation"/>
    <x v="2"/>
    <x v="0"/>
    <x v="0"/>
    <s v="Mutual Fund"/>
    <x v="0"/>
    <x v="0"/>
    <x v="0"/>
    <x v="1"/>
    <x v="0"/>
    <x v="1"/>
  </r>
  <r>
    <x v="1"/>
    <n v="26"/>
    <x v="0"/>
    <n v="3"/>
    <n v="4"/>
    <n v="6"/>
    <n v="5"/>
    <n v="1"/>
    <x v="4"/>
    <x v="1"/>
    <x v="0"/>
    <x v="0"/>
    <x v="0"/>
    <s v="Wealth Creation"/>
    <x v="2"/>
    <x v="0"/>
    <x v="0"/>
    <s v="Mutual Fund"/>
    <x v="0"/>
    <x v="1"/>
    <x v="2"/>
    <x v="1"/>
    <x v="0"/>
    <x v="1"/>
  </r>
  <r>
    <x v="1"/>
    <n v="31"/>
    <x v="0"/>
    <n v="2"/>
    <n v="3"/>
    <n v="7"/>
    <n v="6"/>
    <n v="4"/>
    <x v="1"/>
    <x v="2"/>
    <x v="0"/>
    <x v="2"/>
    <x v="2"/>
    <s v="Savings for Future"/>
    <x v="0"/>
    <x v="0"/>
    <x v="0"/>
    <s v="Fixed Deposits"/>
    <x v="1"/>
    <x v="0"/>
    <x v="2"/>
    <x v="0"/>
    <x v="0"/>
    <x v="2"/>
  </r>
  <r>
    <x v="1"/>
    <n v="29"/>
    <x v="0"/>
    <n v="2"/>
    <n v="3"/>
    <n v="6"/>
    <n v="5"/>
    <n v="1"/>
    <x v="2"/>
    <x v="1"/>
    <x v="0"/>
    <x v="0"/>
    <x v="0"/>
    <s v="Wealth Creation"/>
    <x v="0"/>
    <x v="0"/>
    <x v="0"/>
    <s v="Equity"/>
    <x v="0"/>
    <x v="0"/>
    <x v="0"/>
    <x v="1"/>
    <x v="2"/>
    <x v="2"/>
  </r>
  <r>
    <x v="0"/>
    <n v="34"/>
    <x v="0"/>
    <n v="5"/>
    <n v="4"/>
    <n v="3"/>
    <n v="2"/>
    <n v="7"/>
    <x v="1"/>
    <x v="4"/>
    <x v="0"/>
    <x v="0"/>
    <x v="1"/>
    <s v="Returns"/>
    <x v="2"/>
    <x v="0"/>
    <x v="1"/>
    <s v="Mutual Fund"/>
    <x v="0"/>
    <x v="0"/>
    <x v="1"/>
    <x v="0"/>
    <x v="0"/>
    <x v="0"/>
  </r>
  <r>
    <x v="1"/>
    <n v="27"/>
    <x v="0"/>
    <n v="4"/>
    <n v="5"/>
    <n v="1"/>
    <n v="2"/>
    <n v="7"/>
    <x v="5"/>
    <x v="4"/>
    <x v="1"/>
    <x v="0"/>
    <x v="2"/>
    <s v="Wealth Creation"/>
    <x v="0"/>
    <x v="0"/>
    <x v="1"/>
    <s v="Mutual Fund"/>
    <x v="2"/>
    <x v="0"/>
    <x v="1"/>
    <x v="0"/>
    <x v="0"/>
    <x v="2"/>
  </r>
  <r>
    <x v="0"/>
    <n v="31"/>
    <x v="0"/>
    <n v="2"/>
    <n v="4"/>
    <n v="7"/>
    <n v="6"/>
    <n v="3"/>
    <x v="1"/>
    <x v="2"/>
    <x v="0"/>
    <x v="0"/>
    <x v="0"/>
    <s v="Wealth Creation"/>
    <x v="2"/>
    <x v="0"/>
    <x v="0"/>
    <s v="Fixed Deposits"/>
    <x v="0"/>
    <x v="0"/>
    <x v="0"/>
    <x v="1"/>
    <x v="0"/>
    <x v="1"/>
  </r>
  <r>
    <x v="1"/>
    <n v="27"/>
    <x v="0"/>
    <n v="2"/>
    <n v="4"/>
    <n v="7"/>
    <n v="5"/>
    <n v="1"/>
    <x v="5"/>
    <x v="4"/>
    <x v="0"/>
    <x v="0"/>
    <x v="0"/>
    <s v="Wealth Creation"/>
    <x v="2"/>
    <x v="0"/>
    <x v="2"/>
    <s v="Equity"/>
    <x v="1"/>
    <x v="0"/>
    <x v="2"/>
    <x v="1"/>
    <x v="0"/>
    <x v="0"/>
  </r>
  <r>
    <x v="1"/>
    <n v="26"/>
    <x v="0"/>
    <n v="2"/>
    <n v="3"/>
    <n v="6"/>
    <n v="4"/>
    <n v="1"/>
    <x v="3"/>
    <x v="1"/>
    <x v="0"/>
    <x v="0"/>
    <x v="0"/>
    <s v="Returns"/>
    <x v="0"/>
    <x v="0"/>
    <x v="0"/>
    <s v="Fixed Deposits"/>
    <x v="2"/>
    <x v="1"/>
    <x v="0"/>
    <x v="0"/>
    <x v="2"/>
    <x v="0"/>
  </r>
  <r>
    <x v="1"/>
    <n v="27"/>
    <x v="0"/>
    <n v="2"/>
    <n v="3"/>
    <n v="6"/>
    <n v="5"/>
    <n v="4"/>
    <x v="1"/>
    <x v="1"/>
    <x v="0"/>
    <x v="0"/>
    <x v="0"/>
    <s v="Wealth Creation"/>
    <x v="0"/>
    <x v="1"/>
    <x v="0"/>
    <s v="Mutual Fund"/>
    <x v="1"/>
    <x v="0"/>
    <x v="0"/>
    <x v="0"/>
    <x v="0"/>
    <x v="1"/>
  </r>
  <r>
    <x v="1"/>
    <n v="30"/>
    <x v="0"/>
    <n v="1"/>
    <n v="4"/>
    <n v="6"/>
    <n v="5"/>
    <n v="3"/>
    <x v="4"/>
    <x v="1"/>
    <x v="0"/>
    <x v="2"/>
    <x v="2"/>
    <s v="Wealth Creation"/>
    <x v="2"/>
    <x v="0"/>
    <x v="0"/>
    <s v="Fixed Deposits"/>
    <x v="1"/>
    <x v="0"/>
    <x v="0"/>
    <x v="1"/>
    <x v="0"/>
    <x v="1"/>
  </r>
  <r>
    <x v="1"/>
    <n v="30"/>
    <x v="0"/>
    <n v="2"/>
    <n v="4"/>
    <n v="7"/>
    <n v="5"/>
    <n v="1"/>
    <x v="5"/>
    <x v="4"/>
    <x v="0"/>
    <x v="0"/>
    <x v="0"/>
    <s v="Wealth Creation"/>
    <x v="0"/>
    <x v="0"/>
    <x v="0"/>
    <s v="Equity"/>
    <x v="0"/>
    <x v="0"/>
    <x v="0"/>
    <x v="1"/>
    <x v="2"/>
    <x v="0"/>
  </r>
  <r>
    <x v="1"/>
    <n v="25"/>
    <x v="0"/>
    <n v="5"/>
    <n v="4"/>
    <n v="7"/>
    <n v="6"/>
    <n v="1"/>
    <x v="4"/>
    <x v="5"/>
    <x v="0"/>
    <x v="2"/>
    <x v="2"/>
    <s v="Savings for Future"/>
    <x v="2"/>
    <x v="0"/>
    <x v="2"/>
    <s v="Public Provident Fund"/>
    <x v="1"/>
    <x v="0"/>
    <x v="0"/>
    <x v="0"/>
    <x v="0"/>
    <x v="1"/>
  </r>
  <r>
    <x v="1"/>
    <n v="31"/>
    <x v="0"/>
    <n v="2"/>
    <n v="4"/>
    <n v="7"/>
    <n v="5"/>
    <n v="3"/>
    <x v="1"/>
    <x v="4"/>
    <x v="0"/>
    <x v="2"/>
    <x v="2"/>
    <s v="Wealth Creation"/>
    <x v="0"/>
    <x v="1"/>
    <x v="0"/>
    <s v="Equity"/>
    <x v="1"/>
    <x v="1"/>
    <x v="2"/>
    <x v="1"/>
    <x v="0"/>
    <x v="0"/>
  </r>
  <r>
    <x v="1"/>
    <n v="29"/>
    <x v="0"/>
    <n v="4"/>
    <n v="3"/>
    <n v="5"/>
    <n v="7"/>
    <n v="2"/>
    <x v="1"/>
    <x v="4"/>
    <x v="0"/>
    <x v="0"/>
    <x v="0"/>
    <s v="Wealth Creation"/>
    <x v="2"/>
    <x v="0"/>
    <x v="0"/>
    <s v="Fixed Deposits"/>
    <x v="0"/>
    <x v="1"/>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C40D87-2E6A-4DAD-AB1A-571A40EBF9A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25:H29" firstHeaderRow="1"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items count="4">
        <item h="1" x="2"/>
        <item h="1" x="0"/>
        <item x="1"/>
        <item t="default"/>
      </items>
    </pivotField>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showAll="0">
      <items count="5">
        <item x="1"/>
        <item x="3"/>
        <item x="0"/>
        <item x="2"/>
        <item t="default"/>
      </items>
    </pivotField>
  </pivotFields>
  <rowFields count="1">
    <field x="11"/>
  </rowFields>
  <rowItems count="4">
    <i>
      <x/>
    </i>
    <i>
      <x v="1"/>
    </i>
    <i>
      <x v="2"/>
    </i>
    <i t="grand">
      <x/>
    </i>
  </rowItems>
  <colItems count="1">
    <i/>
  </colItems>
  <dataFields count="1">
    <dataField name="Count of Factor" fld="11" subtotal="count" baseField="0" baseItem="0"/>
  </dataFields>
  <chartFormats count="5">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1" count="1" selected="0">
            <x v="2"/>
          </reference>
        </references>
      </pivotArea>
    </chartFormat>
    <chartFormat chart="11" format="4">
      <pivotArea type="data" outline="0" fieldPosition="0">
        <references count="2">
          <reference field="4294967294" count="1" selected="0">
            <x v="0"/>
          </reference>
          <reference field="11" count="1" selected="0">
            <x v="0"/>
          </reference>
        </references>
      </pivotArea>
    </chartFormat>
    <chartFormat chart="11" format="5">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16C8F3-4415-43C9-8830-B42B3B2A3F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5" firstHeaderRow="1" firstDataRow="1" firstDataCol="1"/>
  <pivotFields count="24">
    <pivotField axis="axisRow" showAll="0">
      <items count="3">
        <item x="0"/>
        <item x="1"/>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2"/>
  </rowFields>
  <rowItems count="6">
    <i>
      <x/>
    </i>
    <i r="1">
      <x/>
    </i>
    <i r="1">
      <x v="1"/>
    </i>
    <i>
      <x v="1"/>
    </i>
    <i r="1">
      <x v="1"/>
    </i>
    <i t="grand">
      <x/>
    </i>
  </rowItems>
  <colItems count="1">
    <i/>
  </colItems>
  <dataFields count="1">
    <dataField name="Count of Investment_Avenue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FCE03B-9457-4D38-9E5F-EE9D1B591F7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17:K22" firstHeaderRow="1"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axis="axisRow" dataField="1" showAll="0">
      <items count="5">
        <item x="0"/>
        <item x="2"/>
        <item x="3"/>
        <item x="1"/>
        <item t="default"/>
      </items>
    </pivotField>
    <pivotField showAll="0"/>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showAll="0">
      <items count="5">
        <item x="1"/>
        <item x="3"/>
        <item x="0"/>
        <item x="2"/>
        <item t="default"/>
      </items>
    </pivotField>
  </pivotFields>
  <rowFields count="1">
    <field x="14"/>
  </rowFields>
  <rowItems count="5">
    <i>
      <x/>
    </i>
    <i>
      <x v="1"/>
    </i>
    <i>
      <x v="2"/>
    </i>
    <i>
      <x v="3"/>
    </i>
    <i t="grand">
      <x/>
    </i>
  </rowItems>
  <colItems count="1">
    <i/>
  </colItems>
  <dataFields count="1">
    <dataField name="Count of Duration" fld="14" subtotal="count" baseField="0" baseItem="0"/>
  </dataFields>
  <chartFormats count="7">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4" count="1" selected="0">
            <x v="0"/>
          </reference>
        </references>
      </pivotArea>
    </chartFormat>
    <chartFormat chart="16" format="4">
      <pivotArea type="data" outline="0" fieldPosition="0">
        <references count="2">
          <reference field="4294967294" count="1" selected="0">
            <x v="0"/>
          </reference>
          <reference field="14" count="1" selected="0">
            <x v="1"/>
          </reference>
        </references>
      </pivotArea>
    </chartFormat>
    <chartFormat chart="16" format="5">
      <pivotArea type="data" outline="0" fieldPosition="0">
        <references count="2">
          <reference field="4294967294" count="1" selected="0">
            <x v="0"/>
          </reference>
          <reference field="14" count="1" selected="0">
            <x v="2"/>
          </reference>
        </references>
      </pivotArea>
    </chartFormat>
    <chartFormat chart="16" format="6">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A3C922-CAD7-48F3-8BDE-EA0AF0EF649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39:L45" firstHeaderRow="0"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items count="7">
        <item x="3"/>
        <item x="5"/>
        <item x="0"/>
        <item x="2"/>
        <item x="4"/>
        <item x="1"/>
        <item t="default"/>
      </items>
    </pivotField>
    <pivotField showAll="0">
      <items count="3">
        <item x="1"/>
        <item x="0"/>
        <item t="default"/>
      </items>
    </pivotField>
    <pivotField showAll="0">
      <items count="4">
        <item x="1"/>
        <item x="0"/>
        <item x="2"/>
        <item t="default"/>
      </items>
    </pivotField>
    <pivotField axis="axisRow" dataField="1" showAll="0">
      <items count="4">
        <item x="0"/>
        <item x="2"/>
        <item x="1"/>
        <item t="default"/>
      </items>
    </pivotField>
    <pivotField showAll="0"/>
    <pivotField showAll="0"/>
    <pivotField showAll="0"/>
    <pivotField showAll="0">
      <items count="4">
        <item x="1"/>
        <item x="0"/>
        <item x="2"/>
        <item t="default"/>
      </items>
    </pivotField>
    <pivotField showAll="0"/>
    <pivotField showAll="0">
      <items count="4">
        <item x="2"/>
        <item h="1" x="1"/>
        <item h="1" x="0"/>
        <item t="default"/>
      </items>
    </pivotField>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axis="axisRow" dataField="1" showAll="0">
      <items count="5">
        <item x="1"/>
        <item x="3"/>
        <item x="0"/>
        <item x="2"/>
        <item t="default"/>
      </items>
    </pivotField>
  </pivotFields>
  <rowFields count="2">
    <field x="12"/>
    <field x="23"/>
  </rowFields>
  <rowItems count="6">
    <i>
      <x/>
    </i>
    <i r="1">
      <x v="1"/>
    </i>
    <i r="1">
      <x v="2"/>
    </i>
    <i>
      <x v="1"/>
    </i>
    <i r="1">
      <x v="3"/>
    </i>
    <i t="grand">
      <x/>
    </i>
  </rowItems>
  <colFields count="1">
    <field x="-2"/>
  </colFields>
  <colItems count="2">
    <i>
      <x/>
    </i>
    <i i="1">
      <x v="1"/>
    </i>
  </colItems>
  <dataFields count="2">
    <dataField name="Count of Objective" fld="12" subtotal="count" baseField="0" baseItem="0"/>
    <dataField name="Count of Source"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44165-2D26-4023-BC75-50D0788B8E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7:H22" firstHeaderRow="1"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axis="axisRow" dataField="1" showAll="0">
      <items count="5">
        <item x="1"/>
        <item x="3"/>
        <item x="0"/>
        <item x="2"/>
        <item t="default"/>
      </items>
    </pivotField>
  </pivotFields>
  <rowFields count="1">
    <field x="23"/>
  </rowFields>
  <rowItems count="5">
    <i>
      <x/>
    </i>
    <i>
      <x v="1"/>
    </i>
    <i>
      <x v="2"/>
    </i>
    <i>
      <x v="3"/>
    </i>
    <i t="grand">
      <x/>
    </i>
  </rowItems>
  <colItems count="1">
    <i/>
  </colItems>
  <dataFields count="1">
    <dataField name="Count of Source" fld="23" subtotal="count" baseField="0" baseItem="0"/>
  </dataField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3" count="1" selected="0">
            <x v="3"/>
          </reference>
        </references>
      </pivotArea>
    </chartFormat>
    <chartFormat chart="6" format="4">
      <pivotArea type="data" outline="0" fieldPosition="0">
        <references count="2">
          <reference field="4294967294" count="1" selected="0">
            <x v="0"/>
          </reference>
          <reference field="23" count="1" selected="0">
            <x v="2"/>
          </reference>
        </references>
      </pivotArea>
    </chartFormat>
    <chartFormat chart="6" format="5">
      <pivotArea type="data" outline="0" fieldPosition="0">
        <references count="2">
          <reference field="4294967294" count="1" selected="0">
            <x v="0"/>
          </reference>
          <reference field="23" count="1" selected="0">
            <x v="1"/>
          </reference>
        </references>
      </pivotArea>
    </chartFormat>
    <chartFormat chart="6" format="6">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BBC6B5-98B4-45E3-B858-3E88C3C68C4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06:G147" firstHeaderRow="0"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axis="axisRow" dataField="1" showAll="0">
      <items count="4">
        <item x="0"/>
        <item x="2"/>
        <item x="1"/>
        <item t="default"/>
      </items>
    </pivotField>
    <pivotField axis="axisRow" dataField="1" showAll="0">
      <items count="4">
        <item x="1"/>
        <item x="0"/>
        <item x="2"/>
        <item t="default"/>
      </items>
    </pivotField>
    <pivotField axis="axisRow" dataField="1" showAll="0">
      <items count="4">
        <item x="0"/>
        <item x="1"/>
        <item x="2"/>
        <item t="default"/>
      </items>
    </pivotField>
    <pivotField showAll="0"/>
  </pivotFields>
  <rowFields count="4">
    <field x="19"/>
    <field x="20"/>
    <field x="21"/>
    <field x="22"/>
  </rowFields>
  <rowItems count="41">
    <i>
      <x/>
    </i>
    <i r="1">
      <x/>
    </i>
    <i r="2">
      <x/>
    </i>
    <i r="3">
      <x/>
    </i>
    <i r="3">
      <x v="1"/>
    </i>
    <i r="3">
      <x v="2"/>
    </i>
    <i r="2">
      <x v="1"/>
    </i>
    <i r="3">
      <x/>
    </i>
    <i r="3">
      <x v="2"/>
    </i>
    <i r="1">
      <x v="1"/>
    </i>
    <i r="2">
      <x/>
    </i>
    <i r="3">
      <x/>
    </i>
    <i r="3">
      <x v="2"/>
    </i>
    <i r="2">
      <x v="1"/>
    </i>
    <i r="3">
      <x/>
    </i>
    <i r="1">
      <x v="2"/>
    </i>
    <i r="2">
      <x/>
    </i>
    <i r="3">
      <x/>
    </i>
    <i r="2">
      <x v="1"/>
    </i>
    <i r="3">
      <x/>
    </i>
    <i>
      <x v="1"/>
    </i>
    <i r="1">
      <x/>
    </i>
    <i r="2">
      <x/>
    </i>
    <i r="3">
      <x v="2"/>
    </i>
    <i r="2">
      <x v="1"/>
    </i>
    <i r="3">
      <x/>
    </i>
    <i r="3">
      <x v="1"/>
    </i>
    <i r="3">
      <x v="2"/>
    </i>
    <i r="1">
      <x v="1"/>
    </i>
    <i r="2">
      <x/>
    </i>
    <i r="3">
      <x/>
    </i>
    <i r="2">
      <x v="2"/>
    </i>
    <i r="3">
      <x v="1"/>
    </i>
    <i>
      <x v="2"/>
    </i>
    <i r="1">
      <x/>
    </i>
    <i r="2">
      <x/>
    </i>
    <i r="3">
      <x v="2"/>
    </i>
    <i r="1">
      <x v="1"/>
    </i>
    <i r="2">
      <x v="1"/>
    </i>
    <i r="3">
      <x v="2"/>
    </i>
    <i t="grand">
      <x/>
    </i>
  </rowItems>
  <colFields count="1">
    <field x="-2"/>
  </colFields>
  <colItems count="4">
    <i>
      <x/>
    </i>
    <i i="1">
      <x v="1"/>
    </i>
    <i i="2">
      <x v="2"/>
    </i>
    <i i="3">
      <x v="3"/>
    </i>
  </colItems>
  <dataFields count="4">
    <dataField name="Count of Reason_Equity" fld="19" subtotal="count" baseField="0" baseItem="0"/>
    <dataField name="Count of Reason_Mutual" fld="20" subtotal="count" baseField="0" baseItem="0"/>
    <dataField name="Count of Reason_Bonds" fld="21" subtotal="count" baseField="0" baseItem="0"/>
    <dataField name="Count of Reason_FD" fld="2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EA8B1A-B6F9-4FD1-B640-EF21E8E258D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41:H44" firstHeaderRow="1"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showAll="0">
      <items count="5">
        <item h="1" x="1"/>
        <item h="1" x="3"/>
        <item h="1" x="0"/>
        <item x="2"/>
        <item t="default"/>
      </items>
    </pivotField>
  </pivotFields>
  <rowFields count="1">
    <field x="11"/>
  </rowFields>
  <rowItems count="3">
    <i>
      <x v="1"/>
    </i>
    <i>
      <x v="2"/>
    </i>
    <i t="grand">
      <x/>
    </i>
  </rowItems>
  <colItems count="1">
    <i/>
  </colItems>
  <dataFields count="1">
    <dataField name="Count of Factor" fld="11" subtotal="count" baseField="0" baseItem="0"/>
  </dataFields>
  <chartFormats count="6">
    <chartFormat chart="8"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1" count="1" selected="0">
            <x v="2"/>
          </reference>
        </references>
      </pivotArea>
    </chartFormat>
    <chartFormat chart="11" format="4">
      <pivotArea type="data" outline="0" fieldPosition="0">
        <references count="2">
          <reference field="4294967294" count="1" selected="0">
            <x v="0"/>
          </reference>
          <reference field="11" count="1" selected="0">
            <x v="0"/>
          </reference>
        </references>
      </pivotArea>
    </chartFormat>
    <chartFormat chart="11" format="5">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DD5F34-C074-4D6C-9324-ED229149270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33:I39" firstHeaderRow="0"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axis="axisRow" dataField="1" showAll="0">
      <items count="7">
        <item x="3"/>
        <item x="5"/>
        <item x="0"/>
        <item x="2"/>
        <item x="4"/>
        <item x="1"/>
        <item t="default"/>
      </items>
    </pivotField>
    <pivotField showAll="0"/>
    <pivotField showAll="0">
      <items count="4">
        <item x="1"/>
        <item x="0"/>
        <item x="2"/>
        <item t="default"/>
      </items>
    </pivotField>
    <pivotField showAll="0"/>
    <pivotField showAll="0"/>
    <pivotField showAll="0"/>
    <pivotField axis="axisRow" dataField="1" showAll="0">
      <items count="4">
        <item x="2"/>
        <item x="0"/>
        <item x="1"/>
        <item t="default"/>
      </items>
    </pivotField>
    <pivotField showAll="0">
      <items count="4">
        <item x="1"/>
        <item x="0"/>
        <item x="2"/>
        <item t="default"/>
      </items>
    </pivotField>
    <pivotField showAll="0"/>
    <pivotField showAll="0">
      <items count="4">
        <item x="2"/>
        <item h="1" x="1"/>
        <item h="1" x="0"/>
        <item t="default"/>
      </items>
    </pivotField>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showAll="0">
      <items count="5">
        <item x="1"/>
        <item x="3"/>
        <item x="0"/>
        <item x="2"/>
        <item t="default"/>
      </items>
    </pivotField>
  </pivotFields>
  <rowFields count="2">
    <field x="9"/>
    <field x="15"/>
  </rowFields>
  <rowItems count="6">
    <i>
      <x v="4"/>
    </i>
    <i r="1">
      <x v="1"/>
    </i>
    <i>
      <x v="5"/>
    </i>
    <i r="1">
      <x v="1"/>
    </i>
    <i r="1">
      <x v="2"/>
    </i>
    <i t="grand">
      <x/>
    </i>
  </rowItems>
  <colFields count="1">
    <field x="-2"/>
  </colFields>
  <colItems count="2">
    <i>
      <x/>
    </i>
    <i i="1">
      <x v="1"/>
    </i>
  </colItems>
  <dataFields count="2">
    <dataField name="Sum of Gold" fld="9" baseField="0" baseItem="0"/>
    <dataField name="Count of Invest_Monitor" fld="15" subtotal="count" baseField="0" baseItem="0"/>
  </dataFields>
  <chartFormats count="4">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1"/>
          </reference>
        </references>
      </pivotArea>
    </chartFormat>
    <chartFormat chart="1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78C320-E1E0-46F9-8F75-BBA2E3B1E4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62:D66" firstHeaderRow="1"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showAll="0"/>
  </pivotFields>
  <rowFields count="1">
    <field x="18"/>
  </rowFields>
  <rowItems count="4">
    <i>
      <x/>
    </i>
    <i>
      <x v="1"/>
    </i>
    <i>
      <x v="2"/>
    </i>
    <i t="grand">
      <x/>
    </i>
  </rowItems>
  <colItems count="1">
    <i/>
  </colItems>
  <dataFields count="1">
    <dataField name="Count of What are your savings objectives?" fld="18"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8" count="1" selected="0">
            <x v="0"/>
          </reference>
        </references>
      </pivotArea>
    </chartFormat>
    <chartFormat chart="6" format="7">
      <pivotArea type="data" outline="0" fieldPosition="0">
        <references count="2">
          <reference field="4294967294" count="1" selected="0">
            <x v="0"/>
          </reference>
          <reference field="18" count="1" selected="0">
            <x v="1"/>
          </reference>
        </references>
      </pivotArea>
    </chartFormat>
    <chartFormat chart="6"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207933-B4D7-43C5-97B2-E439CF05876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8:K14" firstHeaderRow="0" firstDataRow="1" firstDataCol="1"/>
  <pivotFields count="24">
    <pivotField showAll="0">
      <items count="3">
        <item h="1" x="0"/>
        <item x="1"/>
        <item t="default"/>
      </items>
    </pivotField>
    <pivotField showAll="0"/>
    <pivotField axis="axisRow" dataField="1" showAll="0">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10"/>
  </rowFields>
  <rowItems count="6">
    <i>
      <x/>
    </i>
    <i r="1">
      <x/>
    </i>
    <i>
      <x v="1"/>
    </i>
    <i r="1">
      <x/>
    </i>
    <i r="1">
      <x v="1"/>
    </i>
    <i t="grand">
      <x/>
    </i>
  </rowItems>
  <colFields count="1">
    <field x="-2"/>
  </colFields>
  <colItems count="8">
    <i>
      <x/>
    </i>
    <i i="1">
      <x v="1"/>
    </i>
    <i i="2">
      <x v="2"/>
    </i>
    <i i="3">
      <x v="3"/>
    </i>
    <i i="4">
      <x v="4"/>
    </i>
    <i i="5">
      <x v="5"/>
    </i>
    <i i="6">
      <x v="6"/>
    </i>
    <i i="7">
      <x v="7"/>
    </i>
  </colItems>
  <dataFields count="8">
    <dataField name="Sum of Debentures" fld="5" baseField="0" baseItem="0"/>
    <dataField name="Count of Investment_Avenues" fld="2" subtotal="count" baseField="0" baseItem="0"/>
    <dataField name="Sum of Equity_Market" fld="4" baseField="0" baseItem="0"/>
    <dataField name="Sum of Mutual_Funds" fld="3" baseField="0" baseItem="0"/>
    <dataField name="Sum of Government_Bonds" fld="6" baseField="0" baseItem="0"/>
    <dataField name="Sum of Fixed_Deposits" fld="7" baseField="0" baseItem="0"/>
    <dataField name="Sum of PPF" fld="8" baseField="0" baseItem="0"/>
    <dataField name="Sum of Gold" fld="9" baseField="0" baseItem="0"/>
  </dataFields>
  <chartFormats count="8">
    <chartFormat chart="5" format="16"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1"/>
          </reference>
        </references>
      </pivotArea>
    </chartFormat>
    <chartFormat chart="5" format="18" series="1">
      <pivotArea type="data" outline="0" fieldPosition="0">
        <references count="1">
          <reference field="4294967294" count="1" selected="0">
            <x v="2"/>
          </reference>
        </references>
      </pivotArea>
    </chartFormat>
    <chartFormat chart="5" format="19" series="1">
      <pivotArea type="data" outline="0" fieldPosition="0">
        <references count="1">
          <reference field="4294967294" count="1" selected="0">
            <x v="3"/>
          </reference>
        </references>
      </pivotArea>
    </chartFormat>
    <chartFormat chart="5" format="20" series="1">
      <pivotArea type="data" outline="0" fieldPosition="0">
        <references count="1">
          <reference field="4294967294" count="1" selected="0">
            <x v="4"/>
          </reference>
        </references>
      </pivotArea>
    </chartFormat>
    <chartFormat chart="5" format="21" series="1">
      <pivotArea type="data" outline="0" fieldPosition="0">
        <references count="1">
          <reference field="4294967294" count="1" selected="0">
            <x v="5"/>
          </reference>
        </references>
      </pivotArea>
    </chartFormat>
    <chartFormat chart="5" format="22" series="1">
      <pivotArea type="data" outline="0" fieldPosition="0">
        <references count="1">
          <reference field="4294967294" count="1" selected="0">
            <x v="6"/>
          </reference>
        </references>
      </pivotArea>
    </chartFormat>
    <chartFormat chart="5"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5E0E5E-2F4A-4CB3-9EBE-D9ADBAB358F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25:K32" firstHeaderRow="1"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axis="axisRow" dataField="1" showAll="0">
      <items count="7">
        <item x="1"/>
        <item x="4"/>
        <item x="5"/>
        <item x="2"/>
        <item x="3"/>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showAll="0">
      <items count="5">
        <item x="1"/>
        <item x="3"/>
        <item x="0"/>
        <item x="2"/>
        <item t="default"/>
      </items>
    </pivotField>
  </pivotFields>
  <rowFields count="1">
    <field x="8"/>
  </rowFields>
  <rowItems count="7">
    <i>
      <x/>
    </i>
    <i>
      <x v="1"/>
    </i>
    <i>
      <x v="2"/>
    </i>
    <i>
      <x v="3"/>
    </i>
    <i>
      <x v="4"/>
    </i>
    <i>
      <x v="5"/>
    </i>
    <i t="grand">
      <x/>
    </i>
  </rowItems>
  <colItems count="1">
    <i/>
  </colItems>
  <dataFields count="1">
    <dataField name="Sum of PPF"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3504FE-6C48-4205-B842-5AD4517DD2D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06:M147" firstHeaderRow="0"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axis="axisRow" dataField="1" showAll="0">
      <items count="4">
        <item x="0"/>
        <item x="2"/>
        <item x="1"/>
        <item t="default"/>
      </items>
    </pivotField>
    <pivotField axis="axisRow" dataField="1" showAll="0">
      <items count="4">
        <item x="1"/>
        <item x="0"/>
        <item x="2"/>
        <item t="default"/>
      </items>
    </pivotField>
    <pivotField axis="axisRow" dataField="1" showAll="0">
      <items count="4">
        <item x="0"/>
        <item x="1"/>
        <item x="2"/>
        <item t="default"/>
      </items>
    </pivotField>
    <pivotField showAll="0"/>
  </pivotFields>
  <rowFields count="4">
    <field x="19"/>
    <field x="20"/>
    <field x="21"/>
    <field x="22"/>
  </rowFields>
  <rowItems count="41">
    <i>
      <x/>
    </i>
    <i r="1">
      <x/>
    </i>
    <i r="2">
      <x/>
    </i>
    <i r="3">
      <x/>
    </i>
    <i r="3">
      <x v="1"/>
    </i>
    <i r="3">
      <x v="2"/>
    </i>
    <i r="2">
      <x v="1"/>
    </i>
    <i r="3">
      <x/>
    </i>
    <i r="3">
      <x v="2"/>
    </i>
    <i r="1">
      <x v="1"/>
    </i>
    <i r="2">
      <x/>
    </i>
    <i r="3">
      <x/>
    </i>
    <i r="3">
      <x v="2"/>
    </i>
    <i r="2">
      <x v="1"/>
    </i>
    <i r="3">
      <x/>
    </i>
    <i r="1">
      <x v="2"/>
    </i>
    <i r="2">
      <x/>
    </i>
    <i r="3">
      <x/>
    </i>
    <i r="2">
      <x v="1"/>
    </i>
    <i r="3">
      <x/>
    </i>
    <i>
      <x v="1"/>
    </i>
    <i r="1">
      <x/>
    </i>
    <i r="2">
      <x/>
    </i>
    <i r="3">
      <x v="2"/>
    </i>
    <i r="2">
      <x v="1"/>
    </i>
    <i r="3">
      <x/>
    </i>
    <i r="3">
      <x v="1"/>
    </i>
    <i r="3">
      <x v="2"/>
    </i>
    <i r="1">
      <x v="1"/>
    </i>
    <i r="2">
      <x/>
    </i>
    <i r="3">
      <x/>
    </i>
    <i r="2">
      <x v="2"/>
    </i>
    <i r="3">
      <x v="1"/>
    </i>
    <i>
      <x v="2"/>
    </i>
    <i r="1">
      <x/>
    </i>
    <i r="2">
      <x/>
    </i>
    <i r="3">
      <x v="2"/>
    </i>
    <i r="1">
      <x v="1"/>
    </i>
    <i r="2">
      <x v="1"/>
    </i>
    <i r="3">
      <x v="2"/>
    </i>
    <i t="grand">
      <x/>
    </i>
  </rowItems>
  <colFields count="1">
    <field x="-2"/>
  </colFields>
  <colItems count="4">
    <i>
      <x/>
    </i>
    <i i="1">
      <x v="1"/>
    </i>
    <i i="2">
      <x v="2"/>
    </i>
    <i i="3">
      <x v="3"/>
    </i>
  </colItems>
  <dataFields count="4">
    <dataField name="Count of Reason_Equity" fld="19" subtotal="count" baseField="0" baseItem="0"/>
    <dataField name="Count of Reason_Mutual" fld="20" subtotal="count" baseField="0" baseItem="0"/>
    <dataField name="Count of Reason_Bonds" fld="21" subtotal="count" baseField="0" baseItem="0"/>
    <dataField name="Count of Reason_FD" fld="2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DDD57B-6F8B-47D7-A0CE-C8634A8D6B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E58" firstHeaderRow="0" firstDataRow="1" firstDataCol="1"/>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axis="axisRow" dataField="1" showAll="0">
      <items count="4">
        <item x="0"/>
        <item x="2"/>
        <item x="1"/>
        <item t="default"/>
      </items>
    </pivotField>
    <pivotField axis="axisRow" dataField="1" showAll="0">
      <items count="4">
        <item x="1"/>
        <item x="0"/>
        <item x="2"/>
        <item t="default"/>
      </items>
    </pivotField>
    <pivotField axis="axisRow" dataField="1" showAll="0">
      <items count="4">
        <item x="0"/>
        <item x="1"/>
        <item x="2"/>
        <item t="default"/>
      </items>
    </pivotField>
    <pivotField showAll="0"/>
  </pivotFields>
  <rowFields count="4">
    <field x="19"/>
    <field x="20"/>
    <field x="21"/>
    <field x="22"/>
  </rowFields>
  <rowItems count="41">
    <i>
      <x/>
    </i>
    <i r="1">
      <x/>
    </i>
    <i r="2">
      <x/>
    </i>
    <i r="3">
      <x/>
    </i>
    <i r="3">
      <x v="1"/>
    </i>
    <i r="3">
      <x v="2"/>
    </i>
    <i r="2">
      <x v="1"/>
    </i>
    <i r="3">
      <x/>
    </i>
    <i r="3">
      <x v="2"/>
    </i>
    <i r="1">
      <x v="1"/>
    </i>
    <i r="2">
      <x/>
    </i>
    <i r="3">
      <x/>
    </i>
    <i r="3">
      <x v="2"/>
    </i>
    <i r="2">
      <x v="1"/>
    </i>
    <i r="3">
      <x/>
    </i>
    <i r="1">
      <x v="2"/>
    </i>
    <i r="2">
      <x/>
    </i>
    <i r="3">
      <x/>
    </i>
    <i r="2">
      <x v="1"/>
    </i>
    <i r="3">
      <x/>
    </i>
    <i>
      <x v="1"/>
    </i>
    <i r="1">
      <x/>
    </i>
    <i r="2">
      <x/>
    </i>
    <i r="3">
      <x v="2"/>
    </i>
    <i r="2">
      <x v="1"/>
    </i>
    <i r="3">
      <x/>
    </i>
    <i r="3">
      <x v="1"/>
    </i>
    <i r="3">
      <x v="2"/>
    </i>
    <i r="1">
      <x v="1"/>
    </i>
    <i r="2">
      <x/>
    </i>
    <i r="3">
      <x/>
    </i>
    <i r="2">
      <x v="2"/>
    </i>
    <i r="3">
      <x v="1"/>
    </i>
    <i>
      <x v="2"/>
    </i>
    <i r="1">
      <x/>
    </i>
    <i r="2">
      <x/>
    </i>
    <i r="3">
      <x v="2"/>
    </i>
    <i r="1">
      <x v="1"/>
    </i>
    <i r="2">
      <x v="1"/>
    </i>
    <i r="3">
      <x v="2"/>
    </i>
    <i t="grand">
      <x/>
    </i>
  </rowItems>
  <colFields count="1">
    <field x="-2"/>
  </colFields>
  <colItems count="4">
    <i>
      <x/>
    </i>
    <i i="1">
      <x v="1"/>
    </i>
    <i i="2">
      <x v="2"/>
    </i>
    <i i="3">
      <x v="3"/>
    </i>
  </colItems>
  <dataFields count="4">
    <dataField name="Count of Reason_Equity" fld="19" subtotal="count" baseField="0" baseItem="0"/>
    <dataField name="Count of Reason_Mutual" fld="20" subtotal="count" baseField="0" baseItem="0"/>
    <dataField name="Count of Reason_Bonds" fld="21" subtotal="count" baseField="0" baseItem="0"/>
    <dataField name="Count of Reason_FD" fld="22" subtotal="count" baseField="0" baseItem="0"/>
  </dataField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D41D891-928A-409D-9841-4CC9B0F95A7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3:J34" firstHeaderRow="1" firstDataRow="1" firstDataCol="0"/>
  <pivotFields count="24">
    <pivotField showAll="0">
      <items count="3">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0"/>
        <item x="2"/>
        <item t="default"/>
      </items>
    </pivotField>
    <pivotField showAll="0">
      <items count="4">
        <item x="0"/>
        <item x="1"/>
        <item x="2"/>
        <item t="default"/>
      </items>
    </pivotField>
    <pivotField showAll="0">
      <items count="5">
        <item x="1"/>
        <item x="3"/>
        <item x="0"/>
        <item x="2"/>
        <item t="default"/>
      </items>
    </pivotField>
  </pivotFields>
  <rowItems count="1">
    <i/>
  </rowItems>
  <colItems count="1">
    <i/>
  </colItems>
  <dataFields count="1">
    <dataField name="Count of Factor" fld="11" subtotal="count" baseField="0" baseItem="0"/>
  </dataFields>
  <chartFormats count="3">
    <chartFormat chart="8"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40CF8C-4FFA-42B2-83B9-C3CE704ED96B}" autoFormatId="16" applyNumberFormats="0" applyBorderFormats="0" applyFontFormats="0" applyPatternFormats="0" applyAlignmentFormats="0" applyWidthHeightFormats="0">
  <queryTableRefresh nextId="25">
    <queryTableFields count="24">
      <queryTableField id="1" name="gender" tableColumnId="1"/>
      <queryTableField id="2" name="age" tableColumnId="2"/>
      <queryTableField id="3" name="Investment_Avenues" tableColumnId="3"/>
      <queryTableField id="4" name="Mutual_Funds" tableColumnId="4"/>
      <queryTableField id="5" name="Equity_Market" tableColumnId="5"/>
      <queryTableField id="6" name="Debentures" tableColumnId="6"/>
      <queryTableField id="7" name="Government_Bonds" tableColumnId="7"/>
      <queryTableField id="8" name="Fixed_Deposits" tableColumnId="8"/>
      <queryTableField id="9" name="PPF" tableColumnId="9"/>
      <queryTableField id="10" name="Gold" tableColumnId="10"/>
      <queryTableField id="11" name="Stock_Marktet" tableColumnId="11"/>
      <queryTableField id="12" name="Factor" tableColumnId="12"/>
      <queryTableField id="13" name="Objective" tableColumnId="13"/>
      <queryTableField id="14" name="Purpose" tableColumnId="14"/>
      <queryTableField id="15" name="Duration" tableColumnId="15"/>
      <queryTableField id="16" name="Invest_Monitor" tableColumnId="16"/>
      <queryTableField id="17" name="Expect" tableColumnId="17"/>
      <queryTableField id="18" name="Avenue" tableColumnId="18"/>
      <queryTableField id="19" name="What are your savings objectives?" tableColumnId="19"/>
      <queryTableField id="20" name="Reason_Equity" tableColumnId="20"/>
      <queryTableField id="21" name="Reason_Mutual" tableColumnId="21"/>
      <queryTableField id="22" name="Reason_Bonds" tableColumnId="22"/>
      <queryTableField id="23" name="Reason_FD" tableColumnId="23"/>
      <queryTableField id="24" name="Sourc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ment_Avenues1" xr10:uid="{5902E0C1-A055-42CE-B26D-F4355FFBFAEC}" sourceName="Investment_Avenues">
  <pivotTables>
    <pivotTable tabId="3" name="PivotTable4"/>
    <pivotTable tabId="3" name="PivotTable5"/>
    <pivotTable tabId="3" name="PivotTable1"/>
    <pivotTable tabId="3" name="PivotTable2"/>
    <pivotTable tabId="3" name="PivotTable3"/>
    <pivotTable tabId="3" name="PivotTable7"/>
    <pivotTable tabId="3" name="PivotTable8"/>
    <pivotTable tabId="3" name="PivotTable10"/>
    <pivotTable tabId="3" name="PivotTable11"/>
    <pivotTable tabId="3" name="PivotTable12"/>
    <pivotTable tabId="3" name="PivotTable13"/>
    <pivotTable tabId="3" name="PivotTable14"/>
    <pivotTable tabId="3" name="PivotTable15"/>
    <pivotTable tabId="3" name="PivotTable6"/>
  </pivotTables>
  <data>
    <tabular pivotCacheId="117950065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E71A1E8F-509E-4EE4-9525-2FF716AC9CF1}" sourceName="Source">
  <pivotTables>
    <pivotTable tabId="3" name="PivotTable14"/>
  </pivotTables>
  <data>
    <tabular pivotCacheId="1179500655">
      <items count="4">
        <i x="1"/>
        <i x="3"/>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are_your_savings_objectives?" xr10:uid="{32998EED-72BF-4326-A9DC-69C124D7E056}" sourceName="What are your savings objectives?">
  <pivotTables>
    <pivotTable tabId="3" name="PivotTable11"/>
    <pivotTable tabId="3" name="PivotTable6"/>
  </pivotTables>
  <data>
    <tabular pivotCacheId="1179500655">
      <items count="3">
        <i x="2" s="1"/>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_Monitor" xr10:uid="{079CE6C7-D313-423E-98A4-004D84F228EC}" sourceName="Invest_Monitor">
  <pivotTables>
    <pivotTable tabId="3" name="PivotTable10"/>
  </pivotTables>
  <data>
    <tabular pivotCacheId="1179500655">
      <items count="3">
        <i x="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ategory" xr10:uid="{B09D6BA8-BB7B-4AF4-B193-5F86ED67CCF5}" sourceName="Gender Category">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estment_Avenues" xr10:uid="{9D1B09B9-7A37-49A4-8DDE-DEF4048A1800}" cache="Slicer_Investment_Avenues1" caption="Investment_Avenues" style="Slicer Style 2" rowHeight="241300"/>
  <slicer name="Source" xr10:uid="{CFD13393-F190-4BFD-8B9C-D7FC21A062AD}" cache="Slicer_Source" caption="Source" style="Slicer Style 2" rowHeight="241300"/>
  <slicer name=" savings objectives" xr10:uid="{39175948-637D-4EE5-BF7F-11B1AD924BB4}" cache="Slicer_What_are_your_savings_objectives?" caption="savings objectives?" style="Slicer Style 2" rowHeight="241300"/>
  <slicer name="Invest_Monitor" xr10:uid="{0F30DAED-059A-4A2B-A889-79664DD11255}" cache="Slicer_Invest_Monitor" caption="Invest_Monitor"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Category" xr10:uid="{9F8CF700-0305-44D5-BDC6-B78018B94756}" cache="Slicer_Gender_Category" caption="Gender " style="Slicer Style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438AAC-D328-4F1A-876E-D2F575061BF1}" name="Table4" displayName="Table4" ref="A4:B6" totalsRowShown="0">
  <autoFilter ref="A4:B6" xr:uid="{12438AAC-D328-4F1A-876E-D2F575061BF1}"/>
  <tableColumns count="2">
    <tableColumn id="1" xr3:uid="{87948FD1-3AC2-407D-AADE-007120E52855}" name="Gender Category"/>
    <tableColumn id="2" xr3:uid="{971B6A3D-457A-4F47-B6C5-EA997B382B86}" name="Gender Distribution Anlysi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696B25-D203-4558-B125-1B594C8918D0}" name="Data_set_2__1" displayName="Data_set_2__1" ref="A1:X41" tableType="queryTable" totalsRowShown="0">
  <autoFilter ref="A1:X41" xr:uid="{56696B25-D203-4558-B125-1B594C8918D0}"/>
  <tableColumns count="24">
    <tableColumn id="1" xr3:uid="{48BEB5E6-4259-4BE2-995A-623392AFD248}" uniqueName="1" name="gender" queryTableFieldId="1" dataDxfId="15"/>
    <tableColumn id="2" xr3:uid="{74F22DC6-254A-451E-8ED4-228148C56185}" uniqueName="2" name="age" queryTableFieldId="2"/>
    <tableColumn id="3" xr3:uid="{0ED4BE8C-9AA5-4F6B-BBBC-1EFA8E3F2DAA}" uniqueName="3" name="Investment_Avenues" queryTableFieldId="3" dataDxfId="14"/>
    <tableColumn id="4" xr3:uid="{F1B9E15F-C0E4-4525-AF93-97CF6E418B13}" uniqueName="4" name="Mutual_Funds" queryTableFieldId="4"/>
    <tableColumn id="5" xr3:uid="{84644BBA-4567-4F36-A201-65C08143CA58}" uniqueName="5" name="Equity_Market" queryTableFieldId="5"/>
    <tableColumn id="6" xr3:uid="{A3D0152C-F1ED-4E09-B991-CAC254779D01}" uniqueName="6" name="Debentures" queryTableFieldId="6"/>
    <tableColumn id="7" xr3:uid="{04D1B5FB-383A-417F-8595-A7597692EA86}" uniqueName="7" name="Government_Bonds" queryTableFieldId="7"/>
    <tableColumn id="8" xr3:uid="{B10B3120-8317-465A-971C-C94F6E905FDC}" uniqueName="8" name="Fixed_Deposits" queryTableFieldId="8"/>
    <tableColumn id="9" xr3:uid="{FF198A47-3B31-4710-A592-ABFE6D098E51}" uniqueName="9" name="PPF" queryTableFieldId="9"/>
    <tableColumn id="10" xr3:uid="{E9D5F680-580E-4475-AB2C-5B4594B9B163}" uniqueName="10" name="Gold" queryTableFieldId="10"/>
    <tableColumn id="11" xr3:uid="{A19E15B1-9DD6-4E91-AED1-89309BA6B857}" uniqueName="11" name="Stock_Marktet" queryTableFieldId="11" dataDxfId="13"/>
    <tableColumn id="12" xr3:uid="{CD227D89-106C-4B96-A5E5-53ED0ACA697F}" uniqueName="12" name="Factor" queryTableFieldId="12" dataDxfId="12"/>
    <tableColumn id="13" xr3:uid="{428D7457-FD34-46BF-95B6-38E3AB619E85}" uniqueName="13" name="Objective" queryTableFieldId="13" dataDxfId="11"/>
    <tableColumn id="14" xr3:uid="{F321196C-84F8-46F5-8B38-15CAEE801F06}" uniqueName="14" name="Purpose" queryTableFieldId="14" dataDxfId="10"/>
    <tableColumn id="15" xr3:uid="{158FEE1F-E793-4EEE-890F-3E71695EE7B1}" uniqueName="15" name="Duration" queryTableFieldId="15" dataDxfId="9"/>
    <tableColumn id="16" xr3:uid="{4DD157CE-10C6-41C4-B83B-2B390CCB8887}" uniqueName="16" name="Invest_Monitor" queryTableFieldId="16" dataDxfId="8"/>
    <tableColumn id="17" xr3:uid="{7D6BF624-99C4-4FDC-A1DB-6CC36CDF6DBF}" uniqueName="17" name="Expect" queryTableFieldId="17" dataDxfId="7"/>
    <tableColumn id="18" xr3:uid="{B98D5B40-E10D-46E4-B1CB-A11B937DB482}" uniqueName="18" name="Avenue" queryTableFieldId="18" dataDxfId="6"/>
    <tableColumn id="19" xr3:uid="{28E32BC4-36A3-4A52-910D-F687C4863F77}" uniqueName="19" name="What are your savings objectives?" queryTableFieldId="19" dataDxfId="5"/>
    <tableColumn id="20" xr3:uid="{4572BB94-AEF4-4C7D-9919-672CD0CDAFA5}" uniqueName="20" name="Reason_Equity" queryTableFieldId="20" dataDxfId="4"/>
    <tableColumn id="21" xr3:uid="{71ED52F3-24A4-4D94-B73B-77316DC9F393}" uniqueName="21" name="Reason_Mutual" queryTableFieldId="21" dataDxfId="3"/>
    <tableColumn id="22" xr3:uid="{AA2BCCCC-A5E6-4FD9-A52D-558D1402799E}" uniqueName="22" name="Reason_Bonds" queryTableFieldId="22" dataDxfId="2"/>
    <tableColumn id="23" xr3:uid="{734FD208-862D-494F-B748-AFD706F4219C}" uniqueName="23" name="Reason_FD" queryTableFieldId="23" dataDxfId="1"/>
    <tableColumn id="24" xr3:uid="{CF3A5B52-0075-4666-BDC6-8F23892F6EFE}" uniqueName="24" name="Source"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69AD0-CC3B-44E2-83FD-A9C2A19D1B01}">
  <dimension ref="A4:M147"/>
  <sheetViews>
    <sheetView tabSelected="1" topLeftCell="D6" zoomScale="70" zoomScaleNormal="70" workbookViewId="0">
      <selection activeCell="J28" sqref="J26:J31"/>
      <pivotSelection pane="bottomRight" showHeader="1" axis="axisRow" activeRow="27" activeCol="9" previousRow="27" previousCol="9" click="1" r:id="rId11">
        <pivotArea dataOnly="0" labelOnly="1" fieldPosition="0">
          <references count="1">
            <reference field="8" count="0"/>
          </references>
        </pivotArea>
      </pivotSelection>
    </sheetView>
  </sheetViews>
  <sheetFormatPr defaultRowHeight="15" x14ac:dyDescent="0.25"/>
  <cols>
    <col min="1" max="1" width="29.5703125" bestFit="1" customWidth="1"/>
    <col min="2" max="2" width="31.85546875" bestFit="1" customWidth="1"/>
    <col min="3" max="3" width="29.5703125" bestFit="1" customWidth="1"/>
    <col min="4" max="4" width="31.85546875" bestFit="1" customWidth="1"/>
    <col min="5" max="5" width="32.28515625" bestFit="1" customWidth="1"/>
    <col min="6" max="6" width="31.85546875" bestFit="1" customWidth="1"/>
    <col min="7" max="7" width="19.85546875" bestFit="1" customWidth="1"/>
    <col min="8" max="8" width="21.42578125" bestFit="1" customWidth="1"/>
    <col min="9" max="9" width="32.28515625" bestFit="1" customWidth="1"/>
    <col min="10" max="10" width="19.85546875" bestFit="1" customWidth="1"/>
    <col min="11" max="11" width="15.7109375" bestFit="1" customWidth="1"/>
    <col min="12" max="12" width="21.7109375" bestFit="1" customWidth="1"/>
    <col min="13" max="13" width="27.42578125" bestFit="1" customWidth="1"/>
  </cols>
  <sheetData>
    <row r="4" spans="1:11" x14ac:dyDescent="0.25">
      <c r="A4" t="s">
        <v>70</v>
      </c>
      <c r="B4" t="s">
        <v>71</v>
      </c>
    </row>
    <row r="5" spans="1:11" x14ac:dyDescent="0.25">
      <c r="A5" t="s">
        <v>46</v>
      </c>
      <c r="B5">
        <f>COUNTIF(Data_set_2__1[#All],Sheet1!A4)</f>
        <v>25</v>
      </c>
    </row>
    <row r="6" spans="1:11" x14ac:dyDescent="0.25">
      <c r="A6" t="s">
        <v>24</v>
      </c>
      <c r="B6">
        <f>COUNTIF(Data_set_2__1[#All],Sheet1!A2)</f>
        <v>15</v>
      </c>
    </row>
    <row r="8" spans="1:11" x14ac:dyDescent="0.25">
      <c r="C8" s="4" t="s">
        <v>68</v>
      </c>
      <c r="D8" t="s">
        <v>75</v>
      </c>
      <c r="E8" t="s">
        <v>72</v>
      </c>
      <c r="F8" t="s">
        <v>74</v>
      </c>
      <c r="G8" t="s">
        <v>73</v>
      </c>
      <c r="H8" t="s">
        <v>76</v>
      </c>
      <c r="I8" t="s">
        <v>77</v>
      </c>
      <c r="J8" t="s">
        <v>78</v>
      </c>
      <c r="K8" t="s">
        <v>79</v>
      </c>
    </row>
    <row r="9" spans="1:11" x14ac:dyDescent="0.25">
      <c r="A9" s="4" t="s">
        <v>68</v>
      </c>
      <c r="B9" t="s">
        <v>72</v>
      </c>
      <c r="C9" s="5" t="s">
        <v>38</v>
      </c>
      <c r="D9">
        <v>10</v>
      </c>
      <c r="E9">
        <v>3</v>
      </c>
      <c r="F9">
        <v>8</v>
      </c>
      <c r="G9">
        <v>10</v>
      </c>
      <c r="H9">
        <v>16</v>
      </c>
      <c r="I9">
        <v>12</v>
      </c>
      <c r="J9">
        <v>12</v>
      </c>
      <c r="K9">
        <v>16</v>
      </c>
    </row>
    <row r="10" spans="1:11" x14ac:dyDescent="0.25">
      <c r="A10" s="5" t="s">
        <v>24</v>
      </c>
      <c r="B10">
        <v>15</v>
      </c>
      <c r="C10" s="6" t="s">
        <v>38</v>
      </c>
      <c r="D10">
        <v>10</v>
      </c>
      <c r="E10">
        <v>3</v>
      </c>
      <c r="F10">
        <v>8</v>
      </c>
      <c r="G10">
        <v>10</v>
      </c>
      <c r="H10">
        <v>16</v>
      </c>
      <c r="I10">
        <v>12</v>
      </c>
      <c r="J10">
        <v>12</v>
      </c>
      <c r="K10">
        <v>16</v>
      </c>
    </row>
    <row r="11" spans="1:11" x14ac:dyDescent="0.25">
      <c r="A11" s="6" t="s">
        <v>38</v>
      </c>
      <c r="B11">
        <v>3</v>
      </c>
      <c r="C11" s="5" t="s">
        <v>25</v>
      </c>
      <c r="D11">
        <v>220</v>
      </c>
      <c r="E11">
        <v>37</v>
      </c>
      <c r="F11">
        <v>131</v>
      </c>
      <c r="G11">
        <v>92</v>
      </c>
      <c r="H11">
        <v>170</v>
      </c>
      <c r="I11">
        <v>131</v>
      </c>
      <c r="J11">
        <v>69</v>
      </c>
      <c r="K11">
        <v>223</v>
      </c>
    </row>
    <row r="12" spans="1:11" x14ac:dyDescent="0.25">
      <c r="A12" s="6" t="s">
        <v>25</v>
      </c>
      <c r="B12">
        <v>12</v>
      </c>
      <c r="C12" s="6" t="s">
        <v>38</v>
      </c>
      <c r="D12">
        <v>3</v>
      </c>
      <c r="E12">
        <v>2</v>
      </c>
      <c r="F12">
        <v>8</v>
      </c>
      <c r="G12">
        <v>8</v>
      </c>
      <c r="H12">
        <v>3</v>
      </c>
      <c r="I12">
        <v>12</v>
      </c>
      <c r="J12">
        <v>9</v>
      </c>
      <c r="K12">
        <v>13</v>
      </c>
    </row>
    <row r="13" spans="1:11" x14ac:dyDescent="0.25">
      <c r="A13" s="5" t="s">
        <v>46</v>
      </c>
      <c r="B13">
        <v>25</v>
      </c>
      <c r="C13" s="6" t="s">
        <v>25</v>
      </c>
      <c r="D13">
        <v>217</v>
      </c>
      <c r="E13">
        <v>35</v>
      </c>
      <c r="F13">
        <v>123</v>
      </c>
      <c r="G13">
        <v>84</v>
      </c>
      <c r="H13">
        <v>167</v>
      </c>
      <c r="I13">
        <v>119</v>
      </c>
      <c r="J13">
        <v>60</v>
      </c>
      <c r="K13">
        <v>210</v>
      </c>
    </row>
    <row r="14" spans="1:11" x14ac:dyDescent="0.25">
      <c r="A14" s="6" t="s">
        <v>25</v>
      </c>
      <c r="B14">
        <v>25</v>
      </c>
      <c r="C14" s="5" t="s">
        <v>69</v>
      </c>
      <c r="D14">
        <v>230</v>
      </c>
      <c r="E14">
        <v>40</v>
      </c>
      <c r="F14">
        <v>139</v>
      </c>
      <c r="G14">
        <v>102</v>
      </c>
      <c r="H14">
        <v>186</v>
      </c>
      <c r="I14">
        <v>143</v>
      </c>
      <c r="J14">
        <v>81</v>
      </c>
      <c r="K14">
        <v>239</v>
      </c>
    </row>
    <row r="15" spans="1:11" x14ac:dyDescent="0.25">
      <c r="A15" s="5" t="s">
        <v>69</v>
      </c>
      <c r="B15">
        <v>40</v>
      </c>
    </row>
    <row r="17" spans="1:11" x14ac:dyDescent="0.25">
      <c r="A17" s="4" t="s">
        <v>68</v>
      </c>
      <c r="B17" t="s">
        <v>80</v>
      </c>
      <c r="C17" t="s">
        <v>81</v>
      </c>
      <c r="D17" t="s">
        <v>82</v>
      </c>
      <c r="E17" t="s">
        <v>83</v>
      </c>
      <c r="G17" s="4" t="s">
        <v>68</v>
      </c>
      <c r="H17" t="s">
        <v>84</v>
      </c>
      <c r="J17" s="4" t="s">
        <v>68</v>
      </c>
      <c r="K17" t="s">
        <v>87</v>
      </c>
    </row>
    <row r="18" spans="1:11" x14ac:dyDescent="0.25">
      <c r="A18" s="5" t="s">
        <v>27</v>
      </c>
      <c r="B18">
        <v>30</v>
      </c>
      <c r="C18">
        <v>30</v>
      </c>
      <c r="D18">
        <v>30</v>
      </c>
      <c r="E18">
        <v>30</v>
      </c>
      <c r="G18" s="5" t="s">
        <v>45</v>
      </c>
      <c r="H18">
        <v>16</v>
      </c>
      <c r="J18" s="5" t="s">
        <v>29</v>
      </c>
      <c r="K18">
        <v>18</v>
      </c>
    </row>
    <row r="19" spans="1:11" x14ac:dyDescent="0.25">
      <c r="A19" s="6" t="s">
        <v>34</v>
      </c>
      <c r="B19">
        <v>18</v>
      </c>
      <c r="C19">
        <v>18</v>
      </c>
      <c r="D19">
        <v>18</v>
      </c>
      <c r="E19">
        <v>18</v>
      </c>
      <c r="G19" s="5" t="s">
        <v>58</v>
      </c>
      <c r="H19">
        <v>4</v>
      </c>
      <c r="J19" s="5" t="s">
        <v>47</v>
      </c>
      <c r="K19">
        <v>19</v>
      </c>
    </row>
    <row r="20" spans="1:11" x14ac:dyDescent="0.25">
      <c r="A20" s="7" t="s">
        <v>51</v>
      </c>
      <c r="B20">
        <v>14</v>
      </c>
      <c r="C20">
        <v>14</v>
      </c>
      <c r="D20">
        <v>14</v>
      </c>
      <c r="E20">
        <v>14</v>
      </c>
      <c r="G20" s="5" t="s">
        <v>37</v>
      </c>
      <c r="H20">
        <v>14</v>
      </c>
      <c r="J20" s="5" t="s">
        <v>54</v>
      </c>
      <c r="K20">
        <v>2</v>
      </c>
    </row>
    <row r="21" spans="1:11" x14ac:dyDescent="0.25">
      <c r="A21" s="8" t="s">
        <v>36</v>
      </c>
      <c r="B21">
        <v>4</v>
      </c>
      <c r="C21">
        <v>4</v>
      </c>
      <c r="D21">
        <v>4</v>
      </c>
      <c r="E21">
        <v>4</v>
      </c>
      <c r="G21" s="5" t="s">
        <v>52</v>
      </c>
      <c r="H21">
        <v>6</v>
      </c>
      <c r="J21" s="5" t="s">
        <v>40</v>
      </c>
      <c r="K21">
        <v>1</v>
      </c>
    </row>
    <row r="22" spans="1:11" x14ac:dyDescent="0.25">
      <c r="A22" s="8" t="s">
        <v>44</v>
      </c>
      <c r="B22">
        <v>1</v>
      </c>
      <c r="C22">
        <v>1</v>
      </c>
      <c r="D22">
        <v>1</v>
      </c>
      <c r="E22">
        <v>1</v>
      </c>
      <c r="G22" s="5" t="s">
        <v>69</v>
      </c>
      <c r="H22">
        <v>40</v>
      </c>
      <c r="J22" s="5" t="s">
        <v>69</v>
      </c>
      <c r="K22">
        <v>40</v>
      </c>
    </row>
    <row r="23" spans="1:11" x14ac:dyDescent="0.25">
      <c r="A23" s="8" t="s">
        <v>59</v>
      </c>
      <c r="B23">
        <v>9</v>
      </c>
      <c r="C23">
        <v>9</v>
      </c>
      <c r="D23">
        <v>9</v>
      </c>
      <c r="E23">
        <v>9</v>
      </c>
    </row>
    <row r="24" spans="1:11" x14ac:dyDescent="0.25">
      <c r="A24" s="7" t="s">
        <v>35</v>
      </c>
      <c r="B24">
        <v>4</v>
      </c>
      <c r="C24">
        <v>4</v>
      </c>
      <c r="D24">
        <v>4</v>
      </c>
      <c r="E24">
        <v>4</v>
      </c>
    </row>
    <row r="25" spans="1:11" x14ac:dyDescent="0.25">
      <c r="A25" s="8" t="s">
        <v>36</v>
      </c>
      <c r="B25">
        <v>3</v>
      </c>
      <c r="C25">
        <v>3</v>
      </c>
      <c r="D25">
        <v>3</v>
      </c>
      <c r="E25">
        <v>3</v>
      </c>
      <c r="G25" s="4" t="s">
        <v>68</v>
      </c>
      <c r="H25" t="s">
        <v>86</v>
      </c>
      <c r="J25" s="4" t="s">
        <v>68</v>
      </c>
      <c r="K25" t="s">
        <v>78</v>
      </c>
    </row>
    <row r="26" spans="1:11" x14ac:dyDescent="0.25">
      <c r="A26" s="8" t="s">
        <v>59</v>
      </c>
      <c r="B26">
        <v>1</v>
      </c>
      <c r="C26">
        <v>1</v>
      </c>
      <c r="D26">
        <v>1</v>
      </c>
      <c r="E26">
        <v>1</v>
      </c>
      <c r="G26" s="5" t="s">
        <v>39</v>
      </c>
      <c r="H26">
        <v>1</v>
      </c>
      <c r="J26" s="5">
        <v>1</v>
      </c>
      <c r="K26">
        <v>24</v>
      </c>
    </row>
    <row r="27" spans="1:11" x14ac:dyDescent="0.25">
      <c r="A27" s="6" t="s">
        <v>56</v>
      </c>
      <c r="B27">
        <v>9</v>
      </c>
      <c r="C27">
        <v>9</v>
      </c>
      <c r="D27">
        <v>9</v>
      </c>
      <c r="E27">
        <v>9</v>
      </c>
      <c r="G27" s="5" t="s">
        <v>26</v>
      </c>
      <c r="H27">
        <v>4</v>
      </c>
      <c r="J27" s="5">
        <v>2</v>
      </c>
      <c r="K27">
        <v>12</v>
      </c>
    </row>
    <row r="28" spans="1:11" x14ac:dyDescent="0.25">
      <c r="A28" s="7" t="s">
        <v>51</v>
      </c>
      <c r="B28">
        <v>7</v>
      </c>
      <c r="C28">
        <v>7</v>
      </c>
      <c r="D28">
        <v>7</v>
      </c>
      <c r="E28">
        <v>7</v>
      </c>
      <c r="G28" s="5" t="s">
        <v>60</v>
      </c>
      <c r="H28">
        <v>2</v>
      </c>
      <c r="J28" s="5">
        <v>3</v>
      </c>
      <c r="K28">
        <v>9</v>
      </c>
    </row>
    <row r="29" spans="1:11" x14ac:dyDescent="0.25">
      <c r="A29" s="8" t="s">
        <v>36</v>
      </c>
      <c r="B29">
        <v>3</v>
      </c>
      <c r="C29">
        <v>3</v>
      </c>
      <c r="D29">
        <v>3</v>
      </c>
      <c r="E29">
        <v>3</v>
      </c>
      <c r="G29" s="5" t="s">
        <v>69</v>
      </c>
      <c r="H29">
        <v>7</v>
      </c>
      <c r="J29" s="5">
        <v>4</v>
      </c>
      <c r="K29">
        <v>8</v>
      </c>
    </row>
    <row r="30" spans="1:11" x14ac:dyDescent="0.25">
      <c r="A30" s="8" t="s">
        <v>59</v>
      </c>
      <c r="B30">
        <v>4</v>
      </c>
      <c r="C30">
        <v>4</v>
      </c>
      <c r="D30">
        <v>4</v>
      </c>
      <c r="E30">
        <v>4</v>
      </c>
      <c r="J30" s="5">
        <v>5</v>
      </c>
      <c r="K30">
        <v>10</v>
      </c>
    </row>
    <row r="31" spans="1:11" x14ac:dyDescent="0.25">
      <c r="A31" s="7" t="s">
        <v>35</v>
      </c>
      <c r="B31">
        <v>2</v>
      </c>
      <c r="C31">
        <v>2</v>
      </c>
      <c r="D31">
        <v>2</v>
      </c>
      <c r="E31">
        <v>2</v>
      </c>
      <c r="J31" s="5">
        <v>6</v>
      </c>
      <c r="K31">
        <v>18</v>
      </c>
    </row>
    <row r="32" spans="1:11" x14ac:dyDescent="0.25">
      <c r="A32" s="8" t="s">
        <v>36</v>
      </c>
      <c r="B32">
        <v>2</v>
      </c>
      <c r="C32">
        <v>2</v>
      </c>
      <c r="D32">
        <v>2</v>
      </c>
      <c r="E32">
        <v>2</v>
      </c>
      <c r="J32" s="5" t="s">
        <v>69</v>
      </c>
      <c r="K32">
        <v>81</v>
      </c>
    </row>
    <row r="33" spans="1:12" x14ac:dyDescent="0.25">
      <c r="A33" s="6" t="s">
        <v>50</v>
      </c>
      <c r="B33">
        <v>3</v>
      </c>
      <c r="C33">
        <v>3</v>
      </c>
      <c r="D33">
        <v>3</v>
      </c>
      <c r="E33">
        <v>3</v>
      </c>
      <c r="G33" s="4" t="s">
        <v>68</v>
      </c>
      <c r="H33" t="s">
        <v>79</v>
      </c>
      <c r="I33" t="s">
        <v>89</v>
      </c>
      <c r="J33" t="s">
        <v>86</v>
      </c>
    </row>
    <row r="34" spans="1:12" x14ac:dyDescent="0.25">
      <c r="A34" s="7" t="s">
        <v>51</v>
      </c>
      <c r="B34">
        <v>1</v>
      </c>
      <c r="C34">
        <v>1</v>
      </c>
      <c r="D34">
        <v>1</v>
      </c>
      <c r="E34">
        <v>1</v>
      </c>
      <c r="G34" s="5">
        <v>6</v>
      </c>
      <c r="H34">
        <v>6</v>
      </c>
      <c r="I34">
        <v>1</v>
      </c>
      <c r="J34">
        <v>40</v>
      </c>
    </row>
    <row r="35" spans="1:12" x14ac:dyDescent="0.25">
      <c r="A35" s="8" t="s">
        <v>36</v>
      </c>
      <c r="B35">
        <v>1</v>
      </c>
      <c r="C35">
        <v>1</v>
      </c>
      <c r="D35">
        <v>1</v>
      </c>
      <c r="E35">
        <v>1</v>
      </c>
      <c r="G35" s="6" t="s">
        <v>30</v>
      </c>
      <c r="H35">
        <v>6</v>
      </c>
      <c r="I35">
        <v>1</v>
      </c>
    </row>
    <row r="36" spans="1:12" x14ac:dyDescent="0.25">
      <c r="A36" s="7" t="s">
        <v>35</v>
      </c>
      <c r="B36">
        <v>2</v>
      </c>
      <c r="C36">
        <v>2</v>
      </c>
      <c r="D36">
        <v>2</v>
      </c>
      <c r="E36">
        <v>2</v>
      </c>
      <c r="G36" s="5">
        <v>7</v>
      </c>
      <c r="H36">
        <v>14</v>
      </c>
      <c r="I36">
        <v>2</v>
      </c>
    </row>
    <row r="37" spans="1:12" x14ac:dyDescent="0.25">
      <c r="A37" s="8" t="s">
        <v>36</v>
      </c>
      <c r="B37">
        <v>2</v>
      </c>
      <c r="C37">
        <v>2</v>
      </c>
      <c r="D37">
        <v>2</v>
      </c>
      <c r="E37">
        <v>2</v>
      </c>
      <c r="G37" s="6" t="s">
        <v>30</v>
      </c>
      <c r="H37">
        <v>7</v>
      </c>
      <c r="I37">
        <v>1</v>
      </c>
    </row>
    <row r="38" spans="1:12" x14ac:dyDescent="0.25">
      <c r="A38" s="5" t="s">
        <v>43</v>
      </c>
      <c r="B38">
        <v>8</v>
      </c>
      <c r="C38">
        <v>8</v>
      </c>
      <c r="D38">
        <v>8</v>
      </c>
      <c r="E38">
        <v>8</v>
      </c>
      <c r="G38" s="6" t="s">
        <v>41</v>
      </c>
      <c r="H38">
        <v>7</v>
      </c>
      <c r="I38">
        <v>1</v>
      </c>
    </row>
    <row r="39" spans="1:12" x14ac:dyDescent="0.25">
      <c r="A39" s="6" t="s">
        <v>34</v>
      </c>
      <c r="B39">
        <v>5</v>
      </c>
      <c r="C39">
        <v>5</v>
      </c>
      <c r="D39">
        <v>5</v>
      </c>
      <c r="E39">
        <v>5</v>
      </c>
      <c r="G39" s="5" t="s">
        <v>69</v>
      </c>
      <c r="H39">
        <v>20</v>
      </c>
      <c r="I39">
        <v>3</v>
      </c>
      <c r="J39" s="4" t="s">
        <v>68</v>
      </c>
      <c r="K39" t="s">
        <v>88</v>
      </c>
      <c r="L39" t="s">
        <v>84</v>
      </c>
    </row>
    <row r="40" spans="1:12" x14ac:dyDescent="0.25">
      <c r="A40" s="7" t="s">
        <v>51</v>
      </c>
      <c r="B40">
        <v>1</v>
      </c>
      <c r="C40">
        <v>1</v>
      </c>
      <c r="D40">
        <v>1</v>
      </c>
      <c r="E40">
        <v>1</v>
      </c>
      <c r="J40" s="5" t="s">
        <v>27</v>
      </c>
      <c r="K40">
        <v>2</v>
      </c>
      <c r="L40">
        <v>2</v>
      </c>
    </row>
    <row r="41" spans="1:12" x14ac:dyDescent="0.25">
      <c r="A41" s="8" t="s">
        <v>59</v>
      </c>
      <c r="B41">
        <v>1</v>
      </c>
      <c r="C41">
        <v>1</v>
      </c>
      <c r="D41">
        <v>1</v>
      </c>
      <c r="E41">
        <v>1</v>
      </c>
      <c r="G41" s="4" t="s">
        <v>68</v>
      </c>
      <c r="H41" t="s">
        <v>86</v>
      </c>
      <c r="J41" s="6" t="s">
        <v>58</v>
      </c>
      <c r="K41">
        <v>1</v>
      </c>
      <c r="L41">
        <v>1</v>
      </c>
    </row>
    <row r="42" spans="1:12" x14ac:dyDescent="0.25">
      <c r="A42" s="7" t="s">
        <v>35</v>
      </c>
      <c r="B42">
        <v>4</v>
      </c>
      <c r="C42">
        <v>4</v>
      </c>
      <c r="D42">
        <v>4</v>
      </c>
      <c r="E42">
        <v>4</v>
      </c>
      <c r="G42" s="5" t="s">
        <v>26</v>
      </c>
      <c r="H42">
        <v>4</v>
      </c>
      <c r="J42" s="6" t="s">
        <v>37</v>
      </c>
      <c r="K42">
        <v>1</v>
      </c>
      <c r="L42">
        <v>1</v>
      </c>
    </row>
    <row r="43" spans="1:12" x14ac:dyDescent="0.25">
      <c r="A43" s="8" t="s">
        <v>36</v>
      </c>
      <c r="B43">
        <v>1</v>
      </c>
      <c r="C43">
        <v>1</v>
      </c>
      <c r="D43">
        <v>1</v>
      </c>
      <c r="E43">
        <v>1</v>
      </c>
      <c r="G43" s="5" t="s">
        <v>60</v>
      </c>
      <c r="H43">
        <v>2</v>
      </c>
      <c r="J43" s="5" t="s">
        <v>63</v>
      </c>
      <c r="K43">
        <v>1</v>
      </c>
      <c r="L43">
        <v>1</v>
      </c>
    </row>
    <row r="44" spans="1:12" x14ac:dyDescent="0.25">
      <c r="A44" s="8" t="s">
        <v>44</v>
      </c>
      <c r="B44">
        <v>1</v>
      </c>
      <c r="C44">
        <v>1</v>
      </c>
      <c r="D44">
        <v>1</v>
      </c>
      <c r="E44">
        <v>1</v>
      </c>
      <c r="G44" s="5" t="s">
        <v>69</v>
      </c>
      <c r="H44">
        <v>6</v>
      </c>
      <c r="J44" s="6" t="s">
        <v>52</v>
      </c>
      <c r="K44">
        <v>1</v>
      </c>
      <c r="L44">
        <v>1</v>
      </c>
    </row>
    <row r="45" spans="1:12" x14ac:dyDescent="0.25">
      <c r="A45" s="8" t="s">
        <v>59</v>
      </c>
      <c r="B45">
        <v>2</v>
      </c>
      <c r="C45">
        <v>2</v>
      </c>
      <c r="D45">
        <v>2</v>
      </c>
      <c r="E45">
        <v>2</v>
      </c>
      <c r="J45" s="5" t="s">
        <v>69</v>
      </c>
      <c r="K45">
        <v>3</v>
      </c>
      <c r="L45">
        <v>3</v>
      </c>
    </row>
    <row r="46" spans="1:12" x14ac:dyDescent="0.25">
      <c r="A46" s="6" t="s">
        <v>56</v>
      </c>
      <c r="B46">
        <v>3</v>
      </c>
      <c r="C46">
        <v>3</v>
      </c>
      <c r="D46">
        <v>3</v>
      </c>
      <c r="E46">
        <v>3</v>
      </c>
    </row>
    <row r="47" spans="1:12" x14ac:dyDescent="0.25">
      <c r="A47" s="7" t="s">
        <v>51</v>
      </c>
      <c r="B47">
        <v>2</v>
      </c>
      <c r="C47">
        <v>2</v>
      </c>
      <c r="D47">
        <v>2</v>
      </c>
      <c r="E47">
        <v>2</v>
      </c>
    </row>
    <row r="48" spans="1:12" x14ac:dyDescent="0.25">
      <c r="A48" s="8" t="s">
        <v>36</v>
      </c>
      <c r="B48">
        <v>2</v>
      </c>
      <c r="C48">
        <v>2</v>
      </c>
      <c r="D48">
        <v>2</v>
      </c>
      <c r="E48">
        <v>2</v>
      </c>
    </row>
    <row r="49" spans="1:5" x14ac:dyDescent="0.25">
      <c r="A49" s="7" t="s">
        <v>57</v>
      </c>
      <c r="B49">
        <v>1</v>
      </c>
      <c r="C49">
        <v>1</v>
      </c>
      <c r="D49">
        <v>1</v>
      </c>
      <c r="E49">
        <v>1</v>
      </c>
    </row>
    <row r="50" spans="1:5" x14ac:dyDescent="0.25">
      <c r="A50" s="8" t="s">
        <v>44</v>
      </c>
      <c r="B50">
        <v>1</v>
      </c>
      <c r="C50">
        <v>1</v>
      </c>
      <c r="D50">
        <v>1</v>
      </c>
      <c r="E50">
        <v>1</v>
      </c>
    </row>
    <row r="51" spans="1:5" x14ac:dyDescent="0.25">
      <c r="A51" s="5" t="s">
        <v>62</v>
      </c>
      <c r="B51">
        <v>2</v>
      </c>
      <c r="C51">
        <v>2</v>
      </c>
      <c r="D51">
        <v>2</v>
      </c>
      <c r="E51">
        <v>2</v>
      </c>
    </row>
    <row r="52" spans="1:5" x14ac:dyDescent="0.25">
      <c r="A52" s="6" t="s">
        <v>34</v>
      </c>
      <c r="B52">
        <v>1</v>
      </c>
      <c r="C52">
        <v>1</v>
      </c>
      <c r="D52">
        <v>1</v>
      </c>
      <c r="E52">
        <v>1</v>
      </c>
    </row>
    <row r="53" spans="1:5" x14ac:dyDescent="0.25">
      <c r="A53" s="7" t="s">
        <v>51</v>
      </c>
      <c r="B53">
        <v>1</v>
      </c>
      <c r="C53">
        <v>1</v>
      </c>
      <c r="D53">
        <v>1</v>
      </c>
      <c r="E53">
        <v>1</v>
      </c>
    </row>
    <row r="54" spans="1:5" x14ac:dyDescent="0.25">
      <c r="A54" s="8" t="s">
        <v>59</v>
      </c>
      <c r="B54">
        <v>1</v>
      </c>
      <c r="C54">
        <v>1</v>
      </c>
      <c r="D54">
        <v>1</v>
      </c>
      <c r="E54">
        <v>1</v>
      </c>
    </row>
    <row r="55" spans="1:5" x14ac:dyDescent="0.25">
      <c r="A55" s="6" t="s">
        <v>56</v>
      </c>
      <c r="B55">
        <v>1</v>
      </c>
      <c r="C55">
        <v>1</v>
      </c>
      <c r="D55">
        <v>1</v>
      </c>
      <c r="E55">
        <v>1</v>
      </c>
    </row>
    <row r="56" spans="1:5" x14ac:dyDescent="0.25">
      <c r="A56" s="7" t="s">
        <v>35</v>
      </c>
      <c r="B56">
        <v>1</v>
      </c>
      <c r="C56">
        <v>1</v>
      </c>
      <c r="D56">
        <v>1</v>
      </c>
      <c r="E56">
        <v>1</v>
      </c>
    </row>
    <row r="57" spans="1:5" x14ac:dyDescent="0.25">
      <c r="A57" s="8" t="s">
        <v>59</v>
      </c>
      <c r="B57">
        <v>1</v>
      </c>
      <c r="C57">
        <v>1</v>
      </c>
      <c r="D57">
        <v>1</v>
      </c>
      <c r="E57">
        <v>1</v>
      </c>
    </row>
    <row r="58" spans="1:5" x14ac:dyDescent="0.25">
      <c r="A58" s="5" t="s">
        <v>69</v>
      </c>
      <c r="B58">
        <v>40</v>
      </c>
      <c r="C58">
        <v>40</v>
      </c>
      <c r="D58">
        <v>40</v>
      </c>
      <c r="E58">
        <v>40</v>
      </c>
    </row>
    <row r="62" spans="1:5" x14ac:dyDescent="0.25">
      <c r="C62" s="4" t="s">
        <v>68</v>
      </c>
      <c r="D62" t="s">
        <v>85</v>
      </c>
    </row>
    <row r="63" spans="1:5" x14ac:dyDescent="0.25">
      <c r="C63" s="5" t="s">
        <v>66</v>
      </c>
      <c r="D63">
        <v>3</v>
      </c>
    </row>
    <row r="64" spans="1:5" x14ac:dyDescent="0.25">
      <c r="C64" s="5" t="s">
        <v>42</v>
      </c>
      <c r="D64">
        <v>13</v>
      </c>
    </row>
    <row r="65" spans="3:4" x14ac:dyDescent="0.25">
      <c r="C65" s="5" t="s">
        <v>33</v>
      </c>
      <c r="D65">
        <v>24</v>
      </c>
    </row>
    <row r="66" spans="3:4" x14ac:dyDescent="0.25">
      <c r="C66" s="5" t="s">
        <v>69</v>
      </c>
      <c r="D66">
        <v>40</v>
      </c>
    </row>
    <row r="106" spans="3:13" x14ac:dyDescent="0.25">
      <c r="C106" s="4" t="s">
        <v>68</v>
      </c>
      <c r="D106" t="s">
        <v>80</v>
      </c>
      <c r="E106" t="s">
        <v>81</v>
      </c>
      <c r="F106" t="s">
        <v>82</v>
      </c>
      <c r="G106" t="s">
        <v>83</v>
      </c>
      <c r="I106" s="4" t="s">
        <v>68</v>
      </c>
      <c r="J106" t="s">
        <v>80</v>
      </c>
      <c r="K106" t="s">
        <v>81</v>
      </c>
      <c r="L106" t="s">
        <v>82</v>
      </c>
      <c r="M106" t="s">
        <v>83</v>
      </c>
    </row>
    <row r="107" spans="3:13" x14ac:dyDescent="0.25">
      <c r="C107" s="5" t="s">
        <v>27</v>
      </c>
      <c r="D107">
        <v>30</v>
      </c>
      <c r="E107">
        <v>30</v>
      </c>
      <c r="F107">
        <v>30</v>
      </c>
      <c r="G107">
        <v>30</v>
      </c>
      <c r="I107" s="5" t="s">
        <v>27</v>
      </c>
      <c r="J107">
        <v>30</v>
      </c>
      <c r="K107">
        <v>30</v>
      </c>
      <c r="L107">
        <v>30</v>
      </c>
      <c r="M107">
        <v>30</v>
      </c>
    </row>
    <row r="108" spans="3:13" x14ac:dyDescent="0.25">
      <c r="C108" s="6" t="s">
        <v>34</v>
      </c>
      <c r="D108">
        <v>18</v>
      </c>
      <c r="E108">
        <v>18</v>
      </c>
      <c r="F108">
        <v>18</v>
      </c>
      <c r="G108">
        <v>18</v>
      </c>
      <c r="I108" s="6" t="s">
        <v>34</v>
      </c>
      <c r="J108">
        <v>18</v>
      </c>
      <c r="K108">
        <v>18</v>
      </c>
      <c r="L108">
        <v>18</v>
      </c>
      <c r="M108">
        <v>18</v>
      </c>
    </row>
    <row r="109" spans="3:13" x14ac:dyDescent="0.25">
      <c r="C109" s="7" t="s">
        <v>51</v>
      </c>
      <c r="D109">
        <v>14</v>
      </c>
      <c r="E109">
        <v>14</v>
      </c>
      <c r="F109">
        <v>14</v>
      </c>
      <c r="G109">
        <v>14</v>
      </c>
      <c r="I109" s="7" t="s">
        <v>51</v>
      </c>
      <c r="J109">
        <v>14</v>
      </c>
      <c r="K109">
        <v>14</v>
      </c>
      <c r="L109">
        <v>14</v>
      </c>
      <c r="M109">
        <v>14</v>
      </c>
    </row>
    <row r="110" spans="3:13" x14ac:dyDescent="0.25">
      <c r="C110" s="8" t="s">
        <v>36</v>
      </c>
      <c r="D110">
        <v>4</v>
      </c>
      <c r="E110">
        <v>4</v>
      </c>
      <c r="F110">
        <v>4</v>
      </c>
      <c r="G110">
        <v>4</v>
      </c>
      <c r="I110" s="8" t="s">
        <v>36</v>
      </c>
      <c r="J110">
        <v>4</v>
      </c>
      <c r="K110">
        <v>4</v>
      </c>
      <c r="L110">
        <v>4</v>
      </c>
      <c r="M110">
        <v>4</v>
      </c>
    </row>
    <row r="111" spans="3:13" x14ac:dyDescent="0.25">
      <c r="C111" s="8" t="s">
        <v>44</v>
      </c>
      <c r="D111">
        <v>1</v>
      </c>
      <c r="E111">
        <v>1</v>
      </c>
      <c r="F111">
        <v>1</v>
      </c>
      <c r="G111">
        <v>1</v>
      </c>
      <c r="I111" s="8" t="s">
        <v>44</v>
      </c>
      <c r="J111">
        <v>1</v>
      </c>
      <c r="K111">
        <v>1</v>
      </c>
      <c r="L111">
        <v>1</v>
      </c>
      <c r="M111">
        <v>1</v>
      </c>
    </row>
    <row r="112" spans="3:13" x14ac:dyDescent="0.25">
      <c r="C112" s="8" t="s">
        <v>59</v>
      </c>
      <c r="D112">
        <v>9</v>
      </c>
      <c r="E112">
        <v>9</v>
      </c>
      <c r="F112">
        <v>9</v>
      </c>
      <c r="G112">
        <v>9</v>
      </c>
      <c r="I112" s="8" t="s">
        <v>59</v>
      </c>
      <c r="J112">
        <v>9</v>
      </c>
      <c r="K112">
        <v>9</v>
      </c>
      <c r="L112">
        <v>9</v>
      </c>
      <c r="M112">
        <v>9</v>
      </c>
    </row>
    <row r="113" spans="3:13" x14ac:dyDescent="0.25">
      <c r="C113" s="7" t="s">
        <v>35</v>
      </c>
      <c r="D113">
        <v>4</v>
      </c>
      <c r="E113">
        <v>4</v>
      </c>
      <c r="F113">
        <v>4</v>
      </c>
      <c r="G113">
        <v>4</v>
      </c>
      <c r="I113" s="7" t="s">
        <v>35</v>
      </c>
      <c r="J113">
        <v>4</v>
      </c>
      <c r="K113">
        <v>4</v>
      </c>
      <c r="L113">
        <v>4</v>
      </c>
      <c r="M113">
        <v>4</v>
      </c>
    </row>
    <row r="114" spans="3:13" x14ac:dyDescent="0.25">
      <c r="C114" s="8" t="s">
        <v>36</v>
      </c>
      <c r="D114">
        <v>3</v>
      </c>
      <c r="E114">
        <v>3</v>
      </c>
      <c r="F114">
        <v>3</v>
      </c>
      <c r="G114">
        <v>3</v>
      </c>
      <c r="I114" s="8" t="s">
        <v>36</v>
      </c>
      <c r="J114">
        <v>3</v>
      </c>
      <c r="K114">
        <v>3</v>
      </c>
      <c r="L114">
        <v>3</v>
      </c>
      <c r="M114">
        <v>3</v>
      </c>
    </row>
    <row r="115" spans="3:13" x14ac:dyDescent="0.25">
      <c r="C115" s="8" t="s">
        <v>59</v>
      </c>
      <c r="D115">
        <v>1</v>
      </c>
      <c r="E115">
        <v>1</v>
      </c>
      <c r="F115">
        <v>1</v>
      </c>
      <c r="G115">
        <v>1</v>
      </c>
      <c r="I115" s="8" t="s">
        <v>59</v>
      </c>
      <c r="J115">
        <v>1</v>
      </c>
      <c r="K115">
        <v>1</v>
      </c>
      <c r="L115">
        <v>1</v>
      </c>
      <c r="M115">
        <v>1</v>
      </c>
    </row>
    <row r="116" spans="3:13" x14ac:dyDescent="0.25">
      <c r="C116" s="6" t="s">
        <v>56</v>
      </c>
      <c r="D116">
        <v>9</v>
      </c>
      <c r="E116">
        <v>9</v>
      </c>
      <c r="F116">
        <v>9</v>
      </c>
      <c r="G116">
        <v>9</v>
      </c>
      <c r="I116" s="6" t="s">
        <v>56</v>
      </c>
      <c r="J116">
        <v>9</v>
      </c>
      <c r="K116">
        <v>9</v>
      </c>
      <c r="L116">
        <v>9</v>
      </c>
      <c r="M116">
        <v>9</v>
      </c>
    </row>
    <row r="117" spans="3:13" x14ac:dyDescent="0.25">
      <c r="C117" s="7" t="s">
        <v>51</v>
      </c>
      <c r="D117">
        <v>7</v>
      </c>
      <c r="E117">
        <v>7</v>
      </c>
      <c r="F117">
        <v>7</v>
      </c>
      <c r="G117">
        <v>7</v>
      </c>
      <c r="I117" s="7" t="s">
        <v>51</v>
      </c>
      <c r="J117">
        <v>7</v>
      </c>
      <c r="K117">
        <v>7</v>
      </c>
      <c r="L117">
        <v>7</v>
      </c>
      <c r="M117">
        <v>7</v>
      </c>
    </row>
    <row r="118" spans="3:13" x14ac:dyDescent="0.25">
      <c r="C118" s="8" t="s">
        <v>36</v>
      </c>
      <c r="D118">
        <v>3</v>
      </c>
      <c r="E118">
        <v>3</v>
      </c>
      <c r="F118">
        <v>3</v>
      </c>
      <c r="G118">
        <v>3</v>
      </c>
      <c r="I118" s="8" t="s">
        <v>36</v>
      </c>
      <c r="J118">
        <v>3</v>
      </c>
      <c r="K118">
        <v>3</v>
      </c>
      <c r="L118">
        <v>3</v>
      </c>
      <c r="M118">
        <v>3</v>
      </c>
    </row>
    <row r="119" spans="3:13" x14ac:dyDescent="0.25">
      <c r="C119" s="8" t="s">
        <v>59</v>
      </c>
      <c r="D119">
        <v>4</v>
      </c>
      <c r="E119">
        <v>4</v>
      </c>
      <c r="F119">
        <v>4</v>
      </c>
      <c r="G119">
        <v>4</v>
      </c>
      <c r="I119" s="8" t="s">
        <v>59</v>
      </c>
      <c r="J119">
        <v>4</v>
      </c>
      <c r="K119">
        <v>4</v>
      </c>
      <c r="L119">
        <v>4</v>
      </c>
      <c r="M119">
        <v>4</v>
      </c>
    </row>
    <row r="120" spans="3:13" x14ac:dyDescent="0.25">
      <c r="C120" s="7" t="s">
        <v>35</v>
      </c>
      <c r="D120">
        <v>2</v>
      </c>
      <c r="E120">
        <v>2</v>
      </c>
      <c r="F120">
        <v>2</v>
      </c>
      <c r="G120">
        <v>2</v>
      </c>
      <c r="I120" s="7" t="s">
        <v>35</v>
      </c>
      <c r="J120">
        <v>2</v>
      </c>
      <c r="K120">
        <v>2</v>
      </c>
      <c r="L120">
        <v>2</v>
      </c>
      <c r="M120">
        <v>2</v>
      </c>
    </row>
    <row r="121" spans="3:13" x14ac:dyDescent="0.25">
      <c r="C121" s="8" t="s">
        <v>36</v>
      </c>
      <c r="D121">
        <v>2</v>
      </c>
      <c r="E121">
        <v>2</v>
      </c>
      <c r="F121">
        <v>2</v>
      </c>
      <c r="G121">
        <v>2</v>
      </c>
      <c r="I121" s="8" t="s">
        <v>36</v>
      </c>
      <c r="J121">
        <v>2</v>
      </c>
      <c r="K121">
        <v>2</v>
      </c>
      <c r="L121">
        <v>2</v>
      </c>
      <c r="M121">
        <v>2</v>
      </c>
    </row>
    <row r="122" spans="3:13" x14ac:dyDescent="0.25">
      <c r="C122" s="6" t="s">
        <v>50</v>
      </c>
      <c r="D122">
        <v>3</v>
      </c>
      <c r="E122">
        <v>3</v>
      </c>
      <c r="F122">
        <v>3</v>
      </c>
      <c r="G122">
        <v>3</v>
      </c>
      <c r="I122" s="6" t="s">
        <v>50</v>
      </c>
      <c r="J122">
        <v>3</v>
      </c>
      <c r="K122">
        <v>3</v>
      </c>
      <c r="L122">
        <v>3</v>
      </c>
      <c r="M122">
        <v>3</v>
      </c>
    </row>
    <row r="123" spans="3:13" x14ac:dyDescent="0.25">
      <c r="C123" s="7" t="s">
        <v>51</v>
      </c>
      <c r="D123">
        <v>1</v>
      </c>
      <c r="E123">
        <v>1</v>
      </c>
      <c r="F123">
        <v>1</v>
      </c>
      <c r="G123">
        <v>1</v>
      </c>
      <c r="I123" s="7" t="s">
        <v>51</v>
      </c>
      <c r="J123">
        <v>1</v>
      </c>
      <c r="K123">
        <v>1</v>
      </c>
      <c r="L123">
        <v>1</v>
      </c>
      <c r="M123">
        <v>1</v>
      </c>
    </row>
    <row r="124" spans="3:13" x14ac:dyDescent="0.25">
      <c r="C124" s="8" t="s">
        <v>36</v>
      </c>
      <c r="D124">
        <v>1</v>
      </c>
      <c r="E124">
        <v>1</v>
      </c>
      <c r="F124">
        <v>1</v>
      </c>
      <c r="G124">
        <v>1</v>
      </c>
      <c r="I124" s="8" t="s">
        <v>36</v>
      </c>
      <c r="J124">
        <v>1</v>
      </c>
      <c r="K124">
        <v>1</v>
      </c>
      <c r="L124">
        <v>1</v>
      </c>
      <c r="M124">
        <v>1</v>
      </c>
    </row>
    <row r="125" spans="3:13" x14ac:dyDescent="0.25">
      <c r="C125" s="7" t="s">
        <v>35</v>
      </c>
      <c r="D125">
        <v>2</v>
      </c>
      <c r="E125">
        <v>2</v>
      </c>
      <c r="F125">
        <v>2</v>
      </c>
      <c r="G125">
        <v>2</v>
      </c>
      <c r="I125" s="7" t="s">
        <v>35</v>
      </c>
      <c r="J125">
        <v>2</v>
      </c>
      <c r="K125">
        <v>2</v>
      </c>
      <c r="L125">
        <v>2</v>
      </c>
      <c r="M125">
        <v>2</v>
      </c>
    </row>
    <row r="126" spans="3:13" x14ac:dyDescent="0.25">
      <c r="C126" s="8" t="s">
        <v>36</v>
      </c>
      <c r="D126">
        <v>2</v>
      </c>
      <c r="E126">
        <v>2</v>
      </c>
      <c r="F126">
        <v>2</v>
      </c>
      <c r="G126">
        <v>2</v>
      </c>
      <c r="I126" s="8" t="s">
        <v>36</v>
      </c>
      <c r="J126">
        <v>2</v>
      </c>
      <c r="K126">
        <v>2</v>
      </c>
      <c r="L126">
        <v>2</v>
      </c>
      <c r="M126">
        <v>2</v>
      </c>
    </row>
    <row r="127" spans="3:13" x14ac:dyDescent="0.25">
      <c r="C127" s="5" t="s">
        <v>43</v>
      </c>
      <c r="D127">
        <v>8</v>
      </c>
      <c r="E127">
        <v>8</v>
      </c>
      <c r="F127">
        <v>8</v>
      </c>
      <c r="G127">
        <v>8</v>
      </c>
      <c r="I127" s="5" t="s">
        <v>43</v>
      </c>
      <c r="J127">
        <v>8</v>
      </c>
      <c r="K127">
        <v>8</v>
      </c>
      <c r="L127">
        <v>8</v>
      </c>
      <c r="M127">
        <v>8</v>
      </c>
    </row>
    <row r="128" spans="3:13" x14ac:dyDescent="0.25">
      <c r="C128" s="6" t="s">
        <v>34</v>
      </c>
      <c r="D128">
        <v>5</v>
      </c>
      <c r="E128">
        <v>5</v>
      </c>
      <c r="F128">
        <v>5</v>
      </c>
      <c r="G128">
        <v>5</v>
      </c>
      <c r="I128" s="6" t="s">
        <v>34</v>
      </c>
      <c r="J128">
        <v>5</v>
      </c>
      <c r="K128">
        <v>5</v>
      </c>
      <c r="L128">
        <v>5</v>
      </c>
      <c r="M128">
        <v>5</v>
      </c>
    </row>
    <row r="129" spans="3:13" x14ac:dyDescent="0.25">
      <c r="C129" s="7" t="s">
        <v>51</v>
      </c>
      <c r="D129">
        <v>1</v>
      </c>
      <c r="E129">
        <v>1</v>
      </c>
      <c r="F129">
        <v>1</v>
      </c>
      <c r="G129">
        <v>1</v>
      </c>
      <c r="I129" s="7" t="s">
        <v>51</v>
      </c>
      <c r="J129">
        <v>1</v>
      </c>
      <c r="K129">
        <v>1</v>
      </c>
      <c r="L129">
        <v>1</v>
      </c>
      <c r="M129">
        <v>1</v>
      </c>
    </row>
    <row r="130" spans="3:13" x14ac:dyDescent="0.25">
      <c r="C130" s="8" t="s">
        <v>59</v>
      </c>
      <c r="D130">
        <v>1</v>
      </c>
      <c r="E130">
        <v>1</v>
      </c>
      <c r="F130">
        <v>1</v>
      </c>
      <c r="G130">
        <v>1</v>
      </c>
      <c r="I130" s="8" t="s">
        <v>59</v>
      </c>
      <c r="J130">
        <v>1</v>
      </c>
      <c r="K130">
        <v>1</v>
      </c>
      <c r="L130">
        <v>1</v>
      </c>
      <c r="M130">
        <v>1</v>
      </c>
    </row>
    <row r="131" spans="3:13" x14ac:dyDescent="0.25">
      <c r="C131" s="7" t="s">
        <v>35</v>
      </c>
      <c r="D131">
        <v>4</v>
      </c>
      <c r="E131">
        <v>4</v>
      </c>
      <c r="F131">
        <v>4</v>
      </c>
      <c r="G131">
        <v>4</v>
      </c>
      <c r="I131" s="7" t="s">
        <v>35</v>
      </c>
      <c r="J131">
        <v>4</v>
      </c>
      <c r="K131">
        <v>4</v>
      </c>
      <c r="L131">
        <v>4</v>
      </c>
      <c r="M131">
        <v>4</v>
      </c>
    </row>
    <row r="132" spans="3:13" x14ac:dyDescent="0.25">
      <c r="C132" s="8" t="s">
        <v>36</v>
      </c>
      <c r="D132">
        <v>1</v>
      </c>
      <c r="E132">
        <v>1</v>
      </c>
      <c r="F132">
        <v>1</v>
      </c>
      <c r="G132">
        <v>1</v>
      </c>
      <c r="I132" s="8" t="s">
        <v>36</v>
      </c>
      <c r="J132">
        <v>1</v>
      </c>
      <c r="K132">
        <v>1</v>
      </c>
      <c r="L132">
        <v>1</v>
      </c>
      <c r="M132">
        <v>1</v>
      </c>
    </row>
    <row r="133" spans="3:13" x14ac:dyDescent="0.25">
      <c r="C133" s="8" t="s">
        <v>44</v>
      </c>
      <c r="D133">
        <v>1</v>
      </c>
      <c r="E133">
        <v>1</v>
      </c>
      <c r="F133">
        <v>1</v>
      </c>
      <c r="G133">
        <v>1</v>
      </c>
      <c r="I133" s="8" t="s">
        <v>44</v>
      </c>
      <c r="J133">
        <v>1</v>
      </c>
      <c r="K133">
        <v>1</v>
      </c>
      <c r="L133">
        <v>1</v>
      </c>
      <c r="M133">
        <v>1</v>
      </c>
    </row>
    <row r="134" spans="3:13" x14ac:dyDescent="0.25">
      <c r="C134" s="8" t="s">
        <v>59</v>
      </c>
      <c r="D134">
        <v>2</v>
      </c>
      <c r="E134">
        <v>2</v>
      </c>
      <c r="F134">
        <v>2</v>
      </c>
      <c r="G134">
        <v>2</v>
      </c>
      <c r="I134" s="8" t="s">
        <v>59</v>
      </c>
      <c r="J134">
        <v>2</v>
      </c>
      <c r="K134">
        <v>2</v>
      </c>
      <c r="L134">
        <v>2</v>
      </c>
      <c r="M134">
        <v>2</v>
      </c>
    </row>
    <row r="135" spans="3:13" x14ac:dyDescent="0.25">
      <c r="C135" s="6" t="s">
        <v>56</v>
      </c>
      <c r="D135">
        <v>3</v>
      </c>
      <c r="E135">
        <v>3</v>
      </c>
      <c r="F135">
        <v>3</v>
      </c>
      <c r="G135">
        <v>3</v>
      </c>
      <c r="I135" s="6" t="s">
        <v>56</v>
      </c>
      <c r="J135">
        <v>3</v>
      </c>
      <c r="K135">
        <v>3</v>
      </c>
      <c r="L135">
        <v>3</v>
      </c>
      <c r="M135">
        <v>3</v>
      </c>
    </row>
    <row r="136" spans="3:13" x14ac:dyDescent="0.25">
      <c r="C136" s="7" t="s">
        <v>51</v>
      </c>
      <c r="D136">
        <v>2</v>
      </c>
      <c r="E136">
        <v>2</v>
      </c>
      <c r="F136">
        <v>2</v>
      </c>
      <c r="G136">
        <v>2</v>
      </c>
      <c r="I136" s="7" t="s">
        <v>51</v>
      </c>
      <c r="J136">
        <v>2</v>
      </c>
      <c r="K136">
        <v>2</v>
      </c>
      <c r="L136">
        <v>2</v>
      </c>
      <c r="M136">
        <v>2</v>
      </c>
    </row>
    <row r="137" spans="3:13" x14ac:dyDescent="0.25">
      <c r="C137" s="8" t="s">
        <v>36</v>
      </c>
      <c r="D137">
        <v>2</v>
      </c>
      <c r="E137">
        <v>2</v>
      </c>
      <c r="F137">
        <v>2</v>
      </c>
      <c r="G137">
        <v>2</v>
      </c>
      <c r="I137" s="8" t="s">
        <v>36</v>
      </c>
      <c r="J137">
        <v>2</v>
      </c>
      <c r="K137">
        <v>2</v>
      </c>
      <c r="L137">
        <v>2</v>
      </c>
      <c r="M137">
        <v>2</v>
      </c>
    </row>
    <row r="138" spans="3:13" x14ac:dyDescent="0.25">
      <c r="C138" s="7" t="s">
        <v>57</v>
      </c>
      <c r="D138">
        <v>1</v>
      </c>
      <c r="E138">
        <v>1</v>
      </c>
      <c r="F138">
        <v>1</v>
      </c>
      <c r="G138">
        <v>1</v>
      </c>
      <c r="I138" s="7" t="s">
        <v>57</v>
      </c>
      <c r="J138">
        <v>1</v>
      </c>
      <c r="K138">
        <v>1</v>
      </c>
      <c r="L138">
        <v>1</v>
      </c>
      <c r="M138">
        <v>1</v>
      </c>
    </row>
    <row r="139" spans="3:13" x14ac:dyDescent="0.25">
      <c r="C139" s="8" t="s">
        <v>44</v>
      </c>
      <c r="D139">
        <v>1</v>
      </c>
      <c r="E139">
        <v>1</v>
      </c>
      <c r="F139">
        <v>1</v>
      </c>
      <c r="G139">
        <v>1</v>
      </c>
      <c r="I139" s="8" t="s">
        <v>44</v>
      </c>
      <c r="J139">
        <v>1</v>
      </c>
      <c r="K139">
        <v>1</v>
      </c>
      <c r="L139">
        <v>1</v>
      </c>
      <c r="M139">
        <v>1</v>
      </c>
    </row>
    <row r="140" spans="3:13" x14ac:dyDescent="0.25">
      <c r="C140" s="5" t="s">
        <v>62</v>
      </c>
      <c r="D140">
        <v>2</v>
      </c>
      <c r="E140">
        <v>2</v>
      </c>
      <c r="F140">
        <v>2</v>
      </c>
      <c r="G140">
        <v>2</v>
      </c>
      <c r="I140" s="5" t="s">
        <v>62</v>
      </c>
      <c r="J140">
        <v>2</v>
      </c>
      <c r="K140">
        <v>2</v>
      </c>
      <c r="L140">
        <v>2</v>
      </c>
      <c r="M140">
        <v>2</v>
      </c>
    </row>
    <row r="141" spans="3:13" x14ac:dyDescent="0.25">
      <c r="C141" s="6" t="s">
        <v>34</v>
      </c>
      <c r="D141">
        <v>1</v>
      </c>
      <c r="E141">
        <v>1</v>
      </c>
      <c r="F141">
        <v>1</v>
      </c>
      <c r="G141">
        <v>1</v>
      </c>
      <c r="I141" s="6" t="s">
        <v>34</v>
      </c>
      <c r="J141">
        <v>1</v>
      </c>
      <c r="K141">
        <v>1</v>
      </c>
      <c r="L141">
        <v>1</v>
      </c>
      <c r="M141">
        <v>1</v>
      </c>
    </row>
    <row r="142" spans="3:13" x14ac:dyDescent="0.25">
      <c r="C142" s="7" t="s">
        <v>51</v>
      </c>
      <c r="D142">
        <v>1</v>
      </c>
      <c r="E142">
        <v>1</v>
      </c>
      <c r="F142">
        <v>1</v>
      </c>
      <c r="G142">
        <v>1</v>
      </c>
      <c r="I142" s="7" t="s">
        <v>51</v>
      </c>
      <c r="J142">
        <v>1</v>
      </c>
      <c r="K142">
        <v>1</v>
      </c>
      <c r="L142">
        <v>1</v>
      </c>
      <c r="M142">
        <v>1</v>
      </c>
    </row>
    <row r="143" spans="3:13" x14ac:dyDescent="0.25">
      <c r="C143" s="8" t="s">
        <v>59</v>
      </c>
      <c r="D143">
        <v>1</v>
      </c>
      <c r="E143">
        <v>1</v>
      </c>
      <c r="F143">
        <v>1</v>
      </c>
      <c r="G143">
        <v>1</v>
      </c>
      <c r="I143" s="8" t="s">
        <v>59</v>
      </c>
      <c r="J143">
        <v>1</v>
      </c>
      <c r="K143">
        <v>1</v>
      </c>
      <c r="L143">
        <v>1</v>
      </c>
      <c r="M143">
        <v>1</v>
      </c>
    </row>
    <row r="144" spans="3:13" x14ac:dyDescent="0.25">
      <c r="C144" s="6" t="s">
        <v>56</v>
      </c>
      <c r="D144">
        <v>1</v>
      </c>
      <c r="E144">
        <v>1</v>
      </c>
      <c r="F144">
        <v>1</v>
      </c>
      <c r="G144">
        <v>1</v>
      </c>
      <c r="I144" s="6" t="s">
        <v>56</v>
      </c>
      <c r="J144">
        <v>1</v>
      </c>
      <c r="K144">
        <v>1</v>
      </c>
      <c r="L144">
        <v>1</v>
      </c>
      <c r="M144">
        <v>1</v>
      </c>
    </row>
    <row r="145" spans="3:13" x14ac:dyDescent="0.25">
      <c r="C145" s="7" t="s">
        <v>35</v>
      </c>
      <c r="D145">
        <v>1</v>
      </c>
      <c r="E145">
        <v>1</v>
      </c>
      <c r="F145">
        <v>1</v>
      </c>
      <c r="G145">
        <v>1</v>
      </c>
      <c r="I145" s="7" t="s">
        <v>35</v>
      </c>
      <c r="J145">
        <v>1</v>
      </c>
      <c r="K145">
        <v>1</v>
      </c>
      <c r="L145">
        <v>1</v>
      </c>
      <c r="M145">
        <v>1</v>
      </c>
    </row>
    <row r="146" spans="3:13" x14ac:dyDescent="0.25">
      <c r="C146" s="8" t="s">
        <v>59</v>
      </c>
      <c r="D146">
        <v>1</v>
      </c>
      <c r="E146">
        <v>1</v>
      </c>
      <c r="F146">
        <v>1</v>
      </c>
      <c r="G146">
        <v>1</v>
      </c>
      <c r="I146" s="8" t="s">
        <v>59</v>
      </c>
      <c r="J146">
        <v>1</v>
      </c>
      <c r="K146">
        <v>1</v>
      </c>
      <c r="L146">
        <v>1</v>
      </c>
      <c r="M146">
        <v>1</v>
      </c>
    </row>
    <row r="147" spans="3:13" x14ac:dyDescent="0.25">
      <c r="C147" s="5" t="s">
        <v>69</v>
      </c>
      <c r="D147">
        <v>40</v>
      </c>
      <c r="E147">
        <v>40</v>
      </c>
      <c r="F147">
        <v>40</v>
      </c>
      <c r="G147">
        <v>40</v>
      </c>
      <c r="I147" s="5" t="s">
        <v>69</v>
      </c>
      <c r="J147">
        <v>40</v>
      </c>
      <c r="K147">
        <v>40</v>
      </c>
      <c r="L147">
        <v>40</v>
      </c>
      <c r="M147">
        <v>40</v>
      </c>
    </row>
  </sheetData>
  <pageMargins left="0.7" right="0.7" top="0.75" bottom="0.75" header="0.3" footer="0.3"/>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9B78-FBB3-4180-9688-F2F50B33C41E}">
  <dimension ref="A1:X41"/>
  <sheetViews>
    <sheetView workbookViewId="0">
      <selection activeCell="E18" sqref="E18"/>
    </sheetView>
  </sheetViews>
  <sheetFormatPr defaultRowHeight="15" x14ac:dyDescent="0.25"/>
  <cols>
    <col min="14" max="14" width="17" bestFit="1" customWidth="1"/>
    <col min="15" max="15" width="16.85546875" bestFit="1" customWidth="1"/>
    <col min="16" max="16" width="17.140625" bestFit="1" customWidth="1"/>
    <col min="24" max="24" width="26"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row>
    <row r="3" spans="1:24" x14ac:dyDescent="0.25">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row>
    <row r="4" spans="1:24" x14ac:dyDescent="0.25">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row>
    <row r="5" spans="1:24" x14ac:dyDescent="0.25">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row>
    <row r="6" spans="1:24" x14ac:dyDescent="0.25">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row>
    <row r="7" spans="1:24" x14ac:dyDescent="0.25">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row>
    <row r="8" spans="1:24" x14ac:dyDescent="0.25">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row>
    <row r="9" spans="1:24" x14ac:dyDescent="0.25">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row>
    <row r="10" spans="1:24" x14ac:dyDescent="0.25">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row>
    <row r="11" spans="1:24" x14ac:dyDescent="0.25">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row>
    <row r="12" spans="1:24" x14ac:dyDescent="0.25">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row>
    <row r="13" spans="1:24" x14ac:dyDescent="0.25">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row>
    <row r="14" spans="1:24" x14ac:dyDescent="0.25">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row>
    <row r="15" spans="1:24" x14ac:dyDescent="0.25">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row>
    <row r="16" spans="1:24" x14ac:dyDescent="0.25">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row>
    <row r="17" spans="1:24" x14ac:dyDescent="0.25">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row>
    <row r="18" spans="1:24" x14ac:dyDescent="0.25">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row>
    <row r="19" spans="1:24" x14ac:dyDescent="0.25">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row>
    <row r="20" spans="1:24" x14ac:dyDescent="0.25">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row>
    <row r="21" spans="1:24" x14ac:dyDescent="0.25">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row>
    <row r="22" spans="1:24" x14ac:dyDescent="0.25">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row>
    <row r="23" spans="1:24" x14ac:dyDescent="0.25">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row>
    <row r="24" spans="1:24" x14ac:dyDescent="0.25">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row>
    <row r="25" spans="1:24" x14ac:dyDescent="0.25">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row>
    <row r="26" spans="1:24" x14ac:dyDescent="0.25">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row>
    <row r="27" spans="1:24" x14ac:dyDescent="0.25">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row>
    <row r="28" spans="1:24" x14ac:dyDescent="0.25">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row>
    <row r="29" spans="1:24" x14ac:dyDescent="0.25">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row>
    <row r="30" spans="1:24" x14ac:dyDescent="0.25">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row>
    <row r="31" spans="1:24" x14ac:dyDescent="0.25">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row>
    <row r="32" spans="1:24" x14ac:dyDescent="0.25">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row>
    <row r="33" spans="1:24" x14ac:dyDescent="0.25">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row>
    <row r="34" spans="1:24" x14ac:dyDescent="0.25">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row>
    <row r="35" spans="1:24" x14ac:dyDescent="0.25">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row>
    <row r="36" spans="1:24" x14ac:dyDescent="0.25">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row>
    <row r="37" spans="1:24" x14ac:dyDescent="0.25">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row>
    <row r="38" spans="1:24" x14ac:dyDescent="0.25">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row>
    <row r="39" spans="1:24" x14ac:dyDescent="0.25">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row>
    <row r="40" spans="1:24" x14ac:dyDescent="0.25">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row>
    <row r="41" spans="1:24" x14ac:dyDescent="0.25">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60BE-E337-4A8B-B4C0-4936DF67D571}">
  <dimension ref="H4:I6"/>
  <sheetViews>
    <sheetView showGridLines="0" showRowColHeaders="0" zoomScale="30" zoomScaleNormal="30" workbookViewId="0">
      <selection activeCell="AJ6" sqref="AJ6"/>
    </sheetView>
  </sheetViews>
  <sheetFormatPr defaultRowHeight="15" x14ac:dyDescent="0.25"/>
  <sheetData>
    <row r="4" spans="8:9" ht="46.5" x14ac:dyDescent="0.7">
      <c r="H4" s="3"/>
      <c r="I4" s="1"/>
    </row>
    <row r="5" spans="8:9" ht="31.5" x14ac:dyDescent="0.5">
      <c r="H5" s="2"/>
      <c r="I5" s="1"/>
    </row>
    <row r="6" spans="8:9" ht="31.5" x14ac:dyDescent="0.5">
      <c r="H6" s="2"/>
      <c r="I6"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516AF8-19A4-4306-91C6-DDB1BE1489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Dashboard 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kiruthika A</dc:creator>
  <cp:lastModifiedBy>kiruthika A</cp:lastModifiedBy>
  <dcterms:created xsi:type="dcterms:W3CDTF">2026-01-22T06:15:37Z</dcterms:created>
  <dcterms:modified xsi:type="dcterms:W3CDTF">2026-01-24T11:13:10Z</dcterms:modified>
</cp:coreProperties>
</file>